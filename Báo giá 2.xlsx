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0" activeTab="1" autoFilterDateGrouping="1"/>
  </bookViews>
  <sheets>
    <sheet xmlns:r="http://schemas.openxmlformats.org/officeDocument/2006/relationships" name="tb" sheetId="1" state="visible" r:id="rId1"/>
    <sheet xmlns:r="http://schemas.openxmlformats.org/officeDocument/2006/relationships" name="Bao gia" sheetId="2" state="visible" r:id="rId2"/>
    <sheet xmlns:r="http://schemas.openxmlformats.org/officeDocument/2006/relationships" name="Danh gia LN" sheetId="3" state="visible" r:id="rId3"/>
  </sheets>
  <externalReferences>
    <externalReference xmlns:r="http://schemas.openxmlformats.org/officeDocument/2006/relationships" r:id="rId4"/>
  </externalReferences>
  <definedNames>
    <definedName name="_xlnm.Print_Area" localSheetId="1">'Bao gia'!$A$1:$M$35</definedName>
  </definedNames>
  <calcPr calcId="152511" fullCalcOnLoad="1" iterateCount="1"/>
</workbook>
</file>

<file path=xl/styles.xml><?xml version="1.0" encoding="utf-8"?>
<styleSheet xmlns="http://schemas.openxmlformats.org/spreadsheetml/2006/main">
  <numFmts count="6">
    <numFmt numFmtId="164" formatCode="_(* #,##0_);_(* \(#,##0\);_(* &quot;-&quot;??_);_(@_)"/>
    <numFmt numFmtId="165" formatCode="0.000"/>
    <numFmt numFmtId="166" formatCode="0.00000"/>
    <numFmt numFmtId="167" formatCode="#,##0.##"/>
    <numFmt numFmtId="168" formatCode="0.0%"/>
    <numFmt numFmtId="169" formatCode="0.0000"/>
  </numFmts>
  <fonts count="27">
    <font>
      <name val="Calibri"/>
      <family val="2"/>
      <color theme="1"/>
      <sz val="11"/>
      <scheme val="minor"/>
    </font>
    <font>
      <name val="Times New Roman"/>
      <family val="1"/>
      <color theme="1"/>
      <sz val="14"/>
    </font>
    <font>
      <name val="Times New Roman"/>
      <family val="1"/>
      <b val="1"/>
      <color theme="1"/>
      <sz val="14"/>
    </font>
    <font>
      <name val="Calibri"/>
      <family val="2"/>
      <color theme="1"/>
      <sz val="11"/>
      <scheme val="minor"/>
    </font>
    <font>
      <name val=".VnTime"/>
      <family val="2"/>
      <sz val="12"/>
    </font>
    <font>
      <name val="Calibri"/>
      <family val="2"/>
      <color theme="1"/>
      <sz val="14"/>
      <scheme val="minor"/>
    </font>
    <font>
      <name val="Times New Roman"/>
      <family val="1"/>
      <sz val="14"/>
    </font>
    <font>
      <name val="Times New Roman"/>
      <family val="1"/>
      <color theme="1"/>
      <sz val="11"/>
    </font>
    <font>
      <name val="Times New Roman"/>
      <family val="1"/>
      <color indexed="8"/>
      <sz val="13"/>
    </font>
    <font>
      <name val="Times New Roman"/>
      <family val="1"/>
      <color theme="1"/>
      <sz val="13"/>
    </font>
    <font>
      <name val="Times New Roman"/>
      <family val="1"/>
      <b val="1"/>
      <sz val="13"/>
    </font>
    <font>
      <name val="Times New Roman"/>
      <family val="1"/>
      <b val="1"/>
      <color theme="1"/>
      <sz val="13"/>
    </font>
    <font>
      <name val="Calibri"/>
      <family val="2"/>
      <b val="1"/>
      <color theme="1"/>
      <sz val="13"/>
      <scheme val="minor"/>
    </font>
    <font>
      <name val="Calibri"/>
      <family val="2"/>
      <color theme="1"/>
      <sz val="13"/>
      <scheme val="minor"/>
    </font>
    <font>
      <name val="Times New Roman"/>
      <family val="1"/>
      <color theme="1"/>
      <sz val="12"/>
    </font>
    <font>
      <name val="Calibri"/>
      <family val="2"/>
      <color theme="1"/>
      <sz val="12"/>
      <scheme val="minor"/>
    </font>
    <font>
      <name val="Times New Roman"/>
      <sz val="14"/>
    </font>
    <font>
      <name val="Times New Roman"/>
      <b val="1"/>
      <sz val="15"/>
    </font>
    <font>
      <name val="Times New Roman"/>
      <i val="1"/>
      <sz val="11"/>
    </font>
    <font>
      <name val="Times New Roman"/>
      <b val="1"/>
      <sz val="12"/>
    </font>
    <font>
      <name val="Times New Roman"/>
      <i val="1"/>
      <sz val="10"/>
    </font>
    <font>
      <name val="Times New Roman"/>
      <b val="1"/>
      <sz val="13"/>
    </font>
    <font>
      <name val="Times New Roman"/>
      <sz val="12"/>
    </font>
    <font>
      <name val="Times New Roman"/>
      <b val="1"/>
      <i val="1"/>
      <sz val="11"/>
    </font>
    <font>
      <name val="Times New Roman"/>
      <b val="1"/>
      <color rgb="00595959"/>
      <sz val="10"/>
    </font>
    <font>
      <name val="Times New Roman"/>
      <color rgb="00595959"/>
      <sz val="10"/>
    </font>
    <font>
      <name val="Times New Roman"/>
      <b val="1"/>
      <sz val="14"/>
    </font>
  </fonts>
  <fills count="9">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00E2EFDA"/>
      </patternFill>
    </fill>
    <fill>
      <patternFill patternType="solid">
        <fgColor rgb="00D9E1F2"/>
      </patternFill>
    </fill>
    <fill>
      <patternFill patternType="solid">
        <fgColor rgb="00F2F2F2"/>
      </patternFill>
    </fill>
    <fill>
      <patternFill patternType="solid">
        <fgColor rgb="00FFF2CC"/>
      </patternFill>
    </fill>
    <fill>
      <patternFill patternType="solid">
        <fgColor rgb="00FCE4D6"/>
      </patternFill>
    </fill>
  </fills>
  <borders count="7">
    <border>
      <left/>
      <right/>
      <top/>
      <bottom/>
      <diagonal/>
    </border>
    <border>
      <left style="thin">
        <color indexed="64"/>
      </left>
      <right style="thin">
        <color indexed="64"/>
      </right>
      <top style="thin">
        <color indexed="64"/>
      </top>
      <bottom style="thin">
        <color indexed="64"/>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
    <xf numFmtId="0" fontId="3" fillId="0" borderId="0"/>
    <xf numFmtId="43" fontId="3" fillId="0" borderId="0"/>
    <xf numFmtId="43" fontId="4" fillId="0" borderId="0"/>
    <xf numFmtId="9" fontId="3" fillId="0" borderId="0"/>
  </cellStyleXfs>
  <cellXfs count="131">
    <xf numFmtId="0" fontId="0" fillId="0" borderId="0" pivotButton="0" quotePrefix="0" xfId="0"/>
    <xf numFmtId="0" fontId="0" fillId="2" borderId="0" pivotButton="0" quotePrefix="0" xfId="0"/>
    <xf numFmtId="0" fontId="0" fillId="0" borderId="0" applyAlignment="1" pivotButton="0" quotePrefix="0" xfId="0">
      <alignment wrapText="1"/>
    </xf>
    <xf numFmtId="0" fontId="2" fillId="0" borderId="0" applyAlignment="1" pivotButton="0" quotePrefix="0" xfId="0">
      <alignment vertical="center"/>
    </xf>
    <xf numFmtId="0" fontId="2" fillId="0" borderId="1" applyAlignment="1" pivotButton="0" quotePrefix="0" xfId="0">
      <alignment horizontal="center" vertical="center" wrapText="1"/>
    </xf>
    <xf numFmtId="0" fontId="1" fillId="0" borderId="1" applyAlignment="1" pivotButton="0" quotePrefix="0" xfId="0">
      <alignment horizontal="center" vertical="center"/>
    </xf>
    <xf numFmtId="164" fontId="1" fillId="0" borderId="1" pivotButton="0" quotePrefix="0" xfId="1"/>
    <xf numFmtId="0" fontId="2" fillId="0" borderId="1" applyAlignment="1" pivotButton="0" quotePrefix="0" xfId="0">
      <alignment horizontal="center" vertical="center"/>
    </xf>
    <xf numFmtId="0" fontId="2" fillId="0" borderId="1" pivotButton="0" quotePrefix="0" xfId="0"/>
    <xf numFmtId="0" fontId="2" fillId="0" borderId="1" applyAlignment="1" pivotButton="0" quotePrefix="0" xfId="0">
      <alignment horizontal="center"/>
    </xf>
    <xf numFmtId="0" fontId="5" fillId="0" borderId="0" pivotButton="0" quotePrefix="0" xfId="0"/>
    <xf numFmtId="0" fontId="6" fillId="2" borderId="1" applyAlignment="1" pivotButton="0" quotePrefix="0" xfId="0">
      <alignment vertical="center" wrapText="1"/>
    </xf>
    <xf numFmtId="0" fontId="7" fillId="0" borderId="0" applyAlignment="1" pivotButton="0" quotePrefix="0" xfId="0">
      <alignment horizontal="center" vertical="center"/>
    </xf>
    <xf numFmtId="0" fontId="7" fillId="0" borderId="0" applyAlignment="1" pivotButton="0" quotePrefix="0" xfId="0">
      <alignment wrapText="1"/>
    </xf>
    <xf numFmtId="0" fontId="7" fillId="0" borderId="0" pivotButton="0" quotePrefix="0" xfId="0"/>
    <xf numFmtId="0" fontId="6"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8" fillId="2" borderId="1" applyAlignment="1" pivotButton="0" quotePrefix="0" xfId="0">
      <alignment horizontal="left" vertical="center" wrapText="1"/>
    </xf>
    <xf numFmtId="0" fontId="7" fillId="2" borderId="0" applyAlignment="1" pivotButton="0" quotePrefix="0" xfId="0">
      <alignment horizontal="center" vertical="center"/>
    </xf>
    <xf numFmtId="0" fontId="7" fillId="2" borderId="0" applyAlignment="1" pivotButton="0" quotePrefix="0" xfId="0">
      <alignment horizontal="center"/>
    </xf>
    <xf numFmtId="0" fontId="7" fillId="2" borderId="0" pivotButton="0" quotePrefix="0" xfId="0"/>
    <xf numFmtId="0" fontId="7" fillId="2" borderId="0" applyAlignment="1" pivotButton="0" quotePrefix="0" xfId="0">
      <alignment wrapText="1"/>
    </xf>
    <xf numFmtId="164" fontId="6" fillId="2" borderId="1" applyAlignment="1" pivotButton="0" quotePrefix="0" xfId="1">
      <alignment vertical="center" wrapText="1"/>
    </xf>
    <xf numFmtId="164" fontId="7" fillId="2" borderId="0" pivotButton="0" quotePrefix="0" xfId="1"/>
    <xf numFmtId="164" fontId="6" fillId="2" borderId="1" applyAlignment="1" pivotButton="0" quotePrefix="0" xfId="0">
      <alignment vertical="center" wrapText="1"/>
    </xf>
    <xf numFmtId="9" fontId="2" fillId="0" borderId="1" applyAlignment="1" pivotButton="0" quotePrefix="0" xfId="3">
      <alignment horizontal="center" vertical="center" wrapText="1"/>
    </xf>
    <xf numFmtId="0" fontId="5" fillId="0" borderId="1" pivotButton="0" quotePrefix="0" xfId="0"/>
    <xf numFmtId="0" fontId="0" fillId="0" borderId="1" pivotButton="0" quotePrefix="0" xfId="0"/>
    <xf numFmtId="9" fontId="2" fillId="0" borderId="1" applyAlignment="1" pivotButton="0" quotePrefix="0" xfId="3">
      <alignment horizontal="center"/>
    </xf>
    <xf numFmtId="9" fontId="7" fillId="0" borderId="0" pivotButton="0" quotePrefix="0" xfId="3"/>
    <xf numFmtId="164" fontId="5" fillId="0" borderId="1" pivotButton="0" quotePrefix="0" xfId="0"/>
    <xf numFmtId="0" fontId="1" fillId="0" borderId="1" applyAlignment="1" pivotButton="0" quotePrefix="0" xfId="0">
      <alignment horizontal="center"/>
    </xf>
    <xf numFmtId="0" fontId="7" fillId="0" borderId="1" pivotButton="0" quotePrefix="0" xfId="0"/>
    <xf numFmtId="0" fontId="7" fillId="0" borderId="1" applyAlignment="1" pivotButton="0" quotePrefix="0" xfId="0">
      <alignment horizontal="center" vertical="center"/>
    </xf>
    <xf numFmtId="9" fontId="7" fillId="0" borderId="1" pivotButton="0" quotePrefix="0" xfId="3"/>
    <xf numFmtId="0" fontId="1" fillId="0" borderId="0" applyAlignment="1" pivotButton="0" quotePrefix="0" xfId="0">
      <alignment horizontal="center" vertical="center"/>
    </xf>
    <xf numFmtId="0" fontId="2" fillId="0" borderId="1" applyAlignment="1" pivotButton="0" quotePrefix="0" xfId="0">
      <alignment wrapText="1"/>
    </xf>
    <xf numFmtId="0" fontId="1" fillId="0" borderId="1" pivotButton="0" quotePrefix="0" xfId="0"/>
    <xf numFmtId="164" fontId="2" fillId="0" borderId="1" pivotButton="0" quotePrefix="0" xfId="0"/>
    <xf numFmtId="164" fontId="1" fillId="0" borderId="1" pivotButton="0" quotePrefix="0" xfId="0"/>
    <xf numFmtId="0" fontId="0" fillId="2" borderId="1" pivotButton="0" quotePrefix="0" xfId="0"/>
    <xf numFmtId="0" fontId="9" fillId="2" borderId="0" applyAlignment="1" pivotButton="0" quotePrefix="0" xfId="0">
      <alignment horizontal="center" vertical="center"/>
    </xf>
    <xf numFmtId="0" fontId="10" fillId="2" borderId="1" applyAlignment="1" pivotButton="0" quotePrefix="0" xfId="0">
      <alignment vertical="center" wrapText="1"/>
    </xf>
    <xf numFmtId="0" fontId="11" fillId="2" borderId="1" applyAlignment="1" pivotButton="0" quotePrefix="0" xfId="0">
      <alignment horizontal="center"/>
    </xf>
    <xf numFmtId="164" fontId="11" fillId="2" borderId="1" pivotButton="0" quotePrefix="0" xfId="1"/>
    <xf numFmtId="0" fontId="12" fillId="2" borderId="1" pivotButton="0" quotePrefix="0" xfId="0"/>
    <xf numFmtId="0" fontId="13" fillId="2" borderId="0" pivotButton="0" quotePrefix="0" xfId="0"/>
    <xf numFmtId="0" fontId="11" fillId="2" borderId="1" applyAlignment="1" pivotButton="0" quotePrefix="0" xfId="0">
      <alignment wrapText="1"/>
    </xf>
    <xf numFmtId="0" fontId="14" fillId="0" borderId="0" applyAlignment="1" pivotButton="0" quotePrefix="0" xfId="0">
      <alignment horizontal="center" vertical="center"/>
    </xf>
    <xf numFmtId="0" fontId="14" fillId="0" borderId="1" applyAlignment="1" pivotButton="0" quotePrefix="0" xfId="0">
      <alignment horizontal="center" vertical="center" wrapText="1"/>
    </xf>
    <xf numFmtId="0" fontId="15" fillId="0" borderId="1" applyAlignment="1" pivotButton="0" quotePrefix="0" xfId="0">
      <alignment horizontal="center"/>
    </xf>
    <xf numFmtId="0" fontId="15" fillId="0" borderId="0" applyAlignment="1" pivotButton="0" quotePrefix="0" xfId="0">
      <alignment horizontal="center"/>
    </xf>
    <xf numFmtId="9" fontId="6" fillId="2" borderId="1" applyAlignment="1" pivotButton="0" quotePrefix="0" xfId="3">
      <alignment horizontal="center" vertical="center" wrapText="1"/>
    </xf>
    <xf numFmtId="9" fontId="0" fillId="2" borderId="0" applyAlignment="1" pivotButton="0" quotePrefix="0" xfId="3">
      <alignment horizontal="center" vertical="center"/>
    </xf>
    <xf numFmtId="9" fontId="12" fillId="2" borderId="1" applyAlignment="1" pivotButton="0" quotePrefix="0" xfId="3">
      <alignment horizontal="center" vertical="center"/>
    </xf>
    <xf numFmtId="0" fontId="11" fillId="0" borderId="1" applyAlignment="1" pivotButton="0" quotePrefix="0" xfId="0">
      <alignment horizontal="center" vertical="center" wrapText="1"/>
    </xf>
    <xf numFmtId="164" fontId="13" fillId="2" borderId="1" pivotButton="0" quotePrefix="0" xfId="0"/>
    <xf numFmtId="164" fontId="11" fillId="2" borderId="1" pivotButton="0" quotePrefix="0" xfId="0"/>
    <xf numFmtId="164" fontId="11" fillId="0" borderId="1" pivotButton="0" quotePrefix="0" xfId="0"/>
    <xf numFmtId="0" fontId="2" fillId="0" borderId="0" applyAlignment="1" pivotButton="0" quotePrefix="0" xfId="0">
      <alignment horizontal="center" vertical="center"/>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vertical="center" wrapText="1"/>
    </xf>
    <xf numFmtId="164" fontId="6" fillId="3" borderId="1" applyAlignment="1" pivotButton="0" quotePrefix="0" xfId="1">
      <alignment vertical="center" wrapText="1"/>
    </xf>
    <xf numFmtId="164" fontId="6" fillId="3" borderId="1" applyAlignment="1" pivotButton="0" quotePrefix="0" xfId="0">
      <alignment vertical="center" wrapText="1"/>
    </xf>
    <xf numFmtId="9" fontId="6" fillId="3" borderId="1" applyAlignment="1" pivotButton="0" quotePrefix="0" xfId="3">
      <alignment horizontal="center" vertical="center" wrapText="1"/>
    </xf>
    <xf numFmtId="164" fontId="13" fillId="3" borderId="1" pivotButton="0" quotePrefix="0" xfId="0"/>
    <xf numFmtId="0" fontId="0" fillId="3" borderId="1" pivotButton="0" quotePrefix="0" xfId="0"/>
    <xf numFmtId="0" fontId="0" fillId="3" borderId="0" pivotButton="0" quotePrefix="0" xfId="0"/>
    <xf numFmtId="0" fontId="2" fillId="4" borderId="1" applyAlignment="1" pivotButton="0" quotePrefix="0" xfId="0">
      <alignment horizontal="center" vertical="center" wrapText="1"/>
    </xf>
    <xf numFmtId="164" fontId="1" fillId="4" borderId="1" pivotButton="0" quotePrefix="0" xfId="1"/>
    <xf numFmtId="164" fontId="2" fillId="4" borderId="1" pivotButton="0" quotePrefix="0" xfId="0"/>
    <xf numFmtId="164" fontId="11" fillId="4" borderId="1" pivotButton="0" quotePrefix="0" xfId="0"/>
    <xf numFmtId="164" fontId="6" fillId="4" borderId="1" applyAlignment="1" pivotButton="0" quotePrefix="0" xfId="1">
      <alignment vertical="center" wrapText="1"/>
    </xf>
    <xf numFmtId="0" fontId="2" fillId="5" borderId="1" applyAlignment="1" pivotButton="0" quotePrefix="0" xfId="0">
      <alignment horizontal="center" vertical="center" wrapText="1"/>
    </xf>
    <xf numFmtId="164" fontId="1" fillId="6" borderId="1" pivotButton="0" quotePrefix="0" xfId="1"/>
    <xf numFmtId="164" fontId="1" fillId="7" borderId="1" pivotButton="0" quotePrefix="0" xfId="1"/>
    <xf numFmtId="164" fontId="2" fillId="6" borderId="1" pivotButton="0" quotePrefix="0" xfId="0"/>
    <xf numFmtId="164" fontId="11" fillId="6" borderId="1" pivotButton="0" quotePrefix="0" xfId="0"/>
    <xf numFmtId="164" fontId="6" fillId="6" borderId="1" applyAlignment="1" pivotButton="0" quotePrefix="0" xfId="1">
      <alignment vertical="center" wrapText="1"/>
    </xf>
    <xf numFmtId="164" fontId="6" fillId="7" borderId="1" applyAlignment="1" pivotButton="0" quotePrefix="0" xfId="1">
      <alignment vertical="center" wrapText="1"/>
    </xf>
    <xf numFmtId="0" fontId="3" fillId="0" borderId="0" pivotButton="0" quotePrefix="0" xfId="0"/>
    <xf numFmtId="0" fontId="26" fillId="4" borderId="2" applyAlignment="1" pivotButton="0" quotePrefix="0" xfId="0">
      <alignment horizontal="center" vertical="center" wrapText="1"/>
    </xf>
    <xf numFmtId="0" fontId="16" fillId="0" borderId="2" applyAlignment="1" pivotButton="0" quotePrefix="0" xfId="0">
      <alignment vertical="center"/>
    </xf>
    <xf numFmtId="3" fontId="16" fillId="0" borderId="2" applyAlignment="1" pivotButton="0" quotePrefix="0" xfId="0">
      <alignment horizontal="center" vertical="center"/>
    </xf>
    <xf numFmtId="164" fontId="16" fillId="6" borderId="2" applyAlignment="1" pivotButton="0" quotePrefix="0" xfId="0">
      <alignment vertical="center"/>
    </xf>
    <xf numFmtId="164" fontId="26" fillId="8" borderId="2" applyAlignment="1" pivotButton="0" quotePrefix="0" xfId="0">
      <alignment vertical="center"/>
    </xf>
    <xf numFmtId="164" fontId="16" fillId="7" borderId="2" applyAlignment="1" pivotButton="0" quotePrefix="0" xfId="0">
      <alignment vertical="center"/>
    </xf>
    <xf numFmtId="0" fontId="17" fillId="0" borderId="0" pivotButton="0" quotePrefix="0" xfId="0"/>
    <xf numFmtId="0" fontId="18" fillId="0" borderId="0" pivotButton="0" quotePrefix="0" xfId="0"/>
    <xf numFmtId="0" fontId="24" fillId="0" borderId="0" pivotButton="0" quotePrefix="0" xfId="0"/>
    <xf numFmtId="0" fontId="19" fillId="0" borderId="2" applyAlignment="1" pivotButton="0" quotePrefix="0" xfId="0">
      <alignment vertical="center" wrapText="1"/>
    </xf>
    <xf numFmtId="0" fontId="0" fillId="0" borderId="5" pivotButton="0" quotePrefix="0" xfId="0"/>
    <xf numFmtId="0" fontId="0" fillId="0" borderId="6" pivotButton="0" quotePrefix="0" xfId="0"/>
    <xf numFmtId="9" fontId="19" fillId="7" borderId="2" applyAlignment="1" pivotButton="0" quotePrefix="0" xfId="0">
      <alignment horizontal="center" vertical="center"/>
    </xf>
    <xf numFmtId="164" fontId="25" fillId="0" borderId="0" pivotButton="0" quotePrefix="0" xfId="0"/>
    <xf numFmtId="165" fontId="19" fillId="6" borderId="2" applyAlignment="1" pivotButton="0" quotePrefix="0" xfId="0">
      <alignment horizontal="center" vertical="center"/>
    </xf>
    <xf numFmtId="0" fontId="20" fillId="0" borderId="0" pivotButton="0" quotePrefix="0" xfId="0"/>
    <xf numFmtId="166" fontId="19" fillId="6" borderId="2" applyAlignment="1" pivotButton="0" quotePrefix="0" xfId="0">
      <alignment horizontal="center" vertical="center"/>
    </xf>
    <xf numFmtId="164" fontId="19" fillId="6" borderId="2" applyAlignment="1" pivotButton="0" quotePrefix="0" xfId="0">
      <alignment horizontal="center" vertical="center"/>
    </xf>
    <xf numFmtId="0" fontId="23" fillId="0" borderId="0" pivotButton="0" quotePrefix="0" xfId="0"/>
    <xf numFmtId="0" fontId="21" fillId="0" borderId="0" pivotButton="0" quotePrefix="0" xfId="0"/>
    <xf numFmtId="0" fontId="19" fillId="4" borderId="2" applyAlignment="1" pivotButton="0" quotePrefix="0" xfId="0">
      <alignment horizontal="center" vertical="center" wrapText="1"/>
    </xf>
    <xf numFmtId="0" fontId="22" fillId="8" borderId="2" applyAlignment="1" pivotButton="0" quotePrefix="0" xfId="0">
      <alignment vertical="center" wrapText="1"/>
    </xf>
    <xf numFmtId="0" fontId="22" fillId="8" borderId="2" applyAlignment="1" pivotButton="0" quotePrefix="0" xfId="0">
      <alignment horizontal="center" vertical="center"/>
    </xf>
    <xf numFmtId="164" fontId="22" fillId="8" borderId="2" applyAlignment="1" pivotButton="0" quotePrefix="0" xfId="0">
      <alignment vertical="center"/>
    </xf>
    <xf numFmtId="164" fontId="19" fillId="8" borderId="2" applyAlignment="1" pivotButton="0" quotePrefix="0" xfId="0">
      <alignment vertical="center"/>
    </xf>
    <xf numFmtId="0" fontId="22" fillId="0" borderId="2" applyAlignment="1" pivotButton="0" quotePrefix="0" xfId="0">
      <alignment vertical="center" wrapText="1"/>
    </xf>
    <xf numFmtId="0" fontId="22" fillId="0" borderId="2" applyAlignment="1" pivotButton="0" quotePrefix="0" xfId="0">
      <alignment horizontal="center" vertical="center"/>
    </xf>
    <xf numFmtId="164" fontId="22" fillId="0" borderId="2" applyAlignment="1" pivotButton="0" quotePrefix="0" xfId="0">
      <alignment vertical="center"/>
    </xf>
    <xf numFmtId="164" fontId="19" fillId="0" borderId="2" applyAlignment="1" pivotButton="0" quotePrefix="0" xfId="0">
      <alignment vertical="center"/>
    </xf>
    <xf numFmtId="169" fontId="25" fillId="0" borderId="0" pivotButton="0" quotePrefix="0" xfId="0"/>
    <xf numFmtId="0" fontId="19" fillId="0" borderId="2" applyAlignment="1" pivotButton="0" quotePrefix="0" xfId="0">
      <alignment horizontal="center" vertical="center"/>
    </xf>
    <xf numFmtId="169" fontId="24" fillId="0" borderId="0" pivotButton="0" quotePrefix="0" xfId="0"/>
    <xf numFmtId="0" fontId="19" fillId="6" borderId="2" applyAlignment="1" pivotButton="0" quotePrefix="0" xfId="0">
      <alignment vertical="center" wrapText="1"/>
    </xf>
    <xf numFmtId="0" fontId="19" fillId="6" borderId="2" applyAlignment="1" pivotButton="0" quotePrefix="0" xfId="0">
      <alignment horizontal="center" vertical="center"/>
    </xf>
    <xf numFmtId="164" fontId="19" fillId="6" borderId="2" applyAlignment="1" pivotButton="0" quotePrefix="0" xfId="0">
      <alignment vertical="center"/>
    </xf>
    <xf numFmtId="0" fontId="19" fillId="8" borderId="2" applyAlignment="1" pivotButton="0" quotePrefix="0" xfId="0">
      <alignment vertical="center" wrapText="1"/>
    </xf>
    <xf numFmtId="0" fontId="19" fillId="8" borderId="2" applyAlignment="1" pivotButton="0" quotePrefix="0" xfId="0">
      <alignment horizontal="center" vertical="center"/>
    </xf>
    <xf numFmtId="0" fontId="22" fillId="0" borderId="2" applyAlignment="1" pivotButton="0" quotePrefix="0" xfId="0">
      <alignment vertical="center"/>
    </xf>
    <xf numFmtId="0" fontId="20" fillId="0" borderId="2" applyAlignment="1" pivotButton="0" quotePrefix="0" xfId="0">
      <alignment vertical="center" wrapText="1"/>
    </xf>
    <xf numFmtId="0" fontId="19" fillId="0" borderId="2" applyAlignment="1" pivotButton="0" quotePrefix="0" xfId="0">
      <alignment vertical="center"/>
    </xf>
    <xf numFmtId="0" fontId="22" fillId="8" borderId="2" applyAlignment="1" pivotButton="0" quotePrefix="0" xfId="0">
      <alignment vertical="center"/>
    </xf>
    <xf numFmtId="0" fontId="20" fillId="8" borderId="2" applyAlignment="1" pivotButton="0" quotePrefix="0" xfId="0">
      <alignment vertical="center" wrapText="1"/>
    </xf>
    <xf numFmtId="0" fontId="19" fillId="6" borderId="2" applyAlignment="1" pivotButton="0" quotePrefix="0" xfId="0">
      <alignment vertical="center"/>
    </xf>
    <xf numFmtId="0" fontId="20" fillId="6" borderId="2" applyAlignment="1" pivotButton="0" quotePrefix="0" xfId="0">
      <alignment vertical="center" wrapText="1"/>
    </xf>
    <xf numFmtId="168" fontId="19" fillId="6" borderId="2" applyAlignment="1" pivotButton="0" quotePrefix="0" xfId="0">
      <alignment vertical="center"/>
    </xf>
    <xf numFmtId="167" fontId="22" fillId="0" borderId="2" applyAlignment="1" pivotButton="0" quotePrefix="0" xfId="0">
      <alignment vertical="center"/>
    </xf>
    <xf numFmtId="4" fontId="22" fillId="0" borderId="2" applyAlignment="1" pivotButton="0" quotePrefix="0" xfId="0">
      <alignment vertical="center"/>
    </xf>
    <xf numFmtId="164" fontId="0" fillId="0" borderId="0" pivotButton="0" quotePrefix="0" xfId="0"/>
  </cellXfs>
  <cellStyles count="4">
    <cellStyle name="Normal" xfId="0" builtinId="0"/>
    <cellStyle name="Comma" xfId="1" builtinId="3"/>
    <cellStyle name="Comma 2" xfId="2"/>
    <cellStyle name="Percent" xfId="3"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C:\Users\DELL\Desktop\PCCC%20Dong%20Son\T&#7892;NG%20H&#7906;P%20PCCC%20PH&#431;&#7900;NG%20&#272;&#7890;NG%20S&#416;N\002.%20PCCC%20TH,%20THCS%20ph&#432;&#7901;ng%20&#272;&#7891;ng%20S&#417;n.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HDT"/>
      <sheetName val="Chi phí pccc"/>
      <sheetName val="TỔNG HỢP"/>
      <sheetName val="ĐƠN GIÁ"/>
      <sheetName val="01 TH số 1 Đồng Sơn"/>
      <sheetName val="02 TH số 2 Đồng Sơn"/>
      <sheetName val="03 THCS số 1 Đồng Sơn"/>
      <sheetName val="04 TH Nghĩa Ninh"/>
      <sheetName val="05 THCS Bắc Nghĩa"/>
    </sheetNames>
    <sheetDataSet>
      <sheetData sheetId="0" refreshError="1"/>
      <sheetData sheetId="1" refreshError="1"/>
      <sheetData sheetId="2" refreshError="1"/>
      <sheetData sheetId="3" refreshError="1">
        <row r="53">
          <cell r="B53" t="str">
            <v>Van 1 chiều DN80</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L20" sqref="L20"/>
    </sheetView>
  </sheetViews>
  <sheetFormatPr baseColWidth="8" defaultRowHeight="15.75"/>
  <cols>
    <col width="7.28515625" customWidth="1" style="12" min="1" max="1"/>
    <col width="50.85546875" customWidth="1" style="13" min="2" max="2"/>
    <col width="8.28515625" customWidth="1" style="14" min="3" max="3"/>
    <col width="10.85546875" customWidth="1" style="14" min="4" max="4"/>
    <col width="11.42578125" customWidth="1" style="14" min="5" max="5"/>
    <col width="11" customWidth="1" style="14" min="6" max="6"/>
    <col width="11.85546875" customWidth="1" style="14" min="7" max="8"/>
    <col width="11" customWidth="1" style="12" min="9" max="9"/>
    <col width="17" customWidth="1" style="14" min="10" max="10"/>
    <col width="15.85546875" customWidth="1" style="14" min="11" max="11"/>
    <col width="12.28515625" bestFit="1" customWidth="1" style="29" min="12" max="12"/>
    <col width="15.28515625" customWidth="1" min="13" max="13"/>
    <col width="8.85546875" customWidth="1" style="51" min="14" max="14"/>
    <col width="22" customWidth="1" min="15" max="15"/>
    <col width="22" customWidth="1" min="16" max="16"/>
    <col width="22" customWidth="1" min="17" max="17"/>
    <col width="22" customWidth="1" min="18" max="18"/>
  </cols>
  <sheetData>
    <row r="1" ht="18.75" customHeight="1">
      <c r="A1" s="59" t="inlineStr">
        <is>
          <t>BẢNG TỔNG HỢP THIẾT BỊ</t>
        </is>
      </c>
      <c r="M1" s="3" t="n"/>
      <c r="N1" s="48" t="n"/>
      <c r="O1" s="82" t="n"/>
      <c r="P1" s="82" t="n"/>
      <c r="Q1" s="82" t="n"/>
      <c r="R1" s="82" t="n"/>
      <c r="S1" s="82" t="n"/>
    </row>
    <row r="2" ht="18.75" customHeight="1">
      <c r="A2" s="59">
        <f>#REF!</f>
        <v/>
      </c>
      <c r="M2" s="3" t="n"/>
      <c r="N2" s="48" t="n"/>
      <c r="O2" s="82" t="n"/>
      <c r="P2" s="82" t="n"/>
      <c r="Q2" s="82" t="n"/>
      <c r="R2" s="82" t="n"/>
      <c r="S2" s="82" t="n"/>
    </row>
    <row r="3" ht="37.5" customFormat="1" customHeight="1" s="2">
      <c r="A3" s="4" t="inlineStr">
        <is>
          <t>STT</t>
        </is>
      </c>
      <c r="B3" s="4" t="inlineStr">
        <is>
          <t>Tên thiết bị</t>
        </is>
      </c>
      <c r="C3" s="4" t="inlineStr">
        <is>
          <t>Đơn vị</t>
        </is>
      </c>
      <c r="D3" s="4" t="n"/>
      <c r="E3" s="4" t="n"/>
      <c r="F3" s="4" t="n"/>
      <c r="G3" s="4" t="n"/>
      <c r="H3" s="4" t="n"/>
      <c r="I3" s="4" t="inlineStr">
        <is>
          <t>Tổng số lượng</t>
        </is>
      </c>
      <c r="J3" s="4" t="inlineStr">
        <is>
          <t>Đơn giá trước thuế</t>
        </is>
      </c>
      <c r="K3" s="4" t="inlineStr">
        <is>
          <t>Thành tiền trước thuế</t>
        </is>
      </c>
      <c r="L3" s="25" t="inlineStr">
        <is>
          <t>Thuế suất</t>
        </is>
      </c>
      <c r="M3" s="4" t="inlineStr">
        <is>
          <t xml:space="preserve">Tiền thuế </t>
        </is>
      </c>
      <c r="N3" s="49" t="inlineStr">
        <is>
          <t>NSX</t>
        </is>
      </c>
      <c r="O3" s="83" t="inlineStr">
        <is>
          <t>Giá vốn vật tư, thiết bị (lấy từ sheet Bao gia)</t>
        </is>
      </c>
      <c r="P3" s="83" t="inlineStr">
        <is>
          <t>Giá vốn nhân công (lấy từ sheet Bao gia)</t>
        </is>
      </c>
      <c r="Q3" s="83" t="inlineStr">
        <is>
          <t>Đơn giá vật tư đề xuất – GIÁ CHỐT (trước thuế)</t>
        </is>
      </c>
      <c r="R3" s="83" t="inlineStr">
        <is>
          <t>Đơn giá nhân công đề xuất – GIÁ CHỐT (trước thuế)</t>
        </is>
      </c>
      <c r="S3" s="82" t="n"/>
    </row>
    <row r="4" ht="18.75" customHeight="1">
      <c r="A4" s="7" t="inlineStr">
        <is>
          <t>I</t>
        </is>
      </c>
      <c r="B4" s="8" t="inlineStr">
        <is>
          <t>Thiết bị</t>
        </is>
      </c>
      <c r="C4" s="8" t="n"/>
      <c r="D4" s="8" t="n"/>
      <c r="E4" s="8" t="n"/>
      <c r="F4" s="8" t="n"/>
      <c r="G4" s="8" t="n"/>
      <c r="H4" s="8" t="n"/>
      <c r="I4" s="7" t="n"/>
      <c r="J4" s="9" t="n"/>
      <c r="K4" s="9" t="n"/>
      <c r="L4" s="28" t="n"/>
      <c r="M4" s="26" t="n"/>
      <c r="N4" s="50" t="n"/>
      <c r="O4" s="84" t="n"/>
      <c r="P4" s="84" t="n"/>
      <c r="Q4" s="84" t="n"/>
      <c r="R4" s="84" t="n"/>
      <c r="S4" s="82" t="n"/>
    </row>
    <row r="5" ht="37.5" customHeight="1">
      <c r="A5" s="5" t="n">
        <v>1</v>
      </c>
      <c r="B5" s="11" t="inlineStr">
        <is>
          <t>Bộ nội quy tiêu lệnh chữa cháy - Chất liệu bằng tôn</t>
        </is>
      </c>
      <c r="C5" s="5" t="inlineStr">
        <is>
          <t>cái</t>
        </is>
      </c>
      <c r="D5" s="5" t="n"/>
      <c r="E5" s="5" t="n"/>
      <c r="F5" s="5" t="n">
        <v>5</v>
      </c>
      <c r="G5" s="5" t="n"/>
      <c r="H5" s="5" t="n"/>
      <c r="I5" s="85">
        <f>SUM(D5:H5)</f>
        <v/>
      </c>
      <c r="J5" s="6" t="n">
        <v>40000</v>
      </c>
      <c r="K5" s="6">
        <f>J5*I5</f>
        <v/>
      </c>
      <c r="L5" s="28" t="n">
        <v>0.08</v>
      </c>
      <c r="M5" s="30">
        <f>K5*L5</f>
        <v/>
      </c>
      <c r="N5" s="50" t="inlineStr">
        <is>
          <t>vn</t>
        </is>
      </c>
      <c r="O5" s="86">
        <f>'Bao gia'!J26</f>
        <v/>
      </c>
      <c r="P5" s="86">
        <f>'Bao gia'!K26</f>
        <v/>
      </c>
      <c r="Q5" s="87">
        <f>'Danh gia LN'!H84</f>
        <v/>
      </c>
      <c r="R5" s="87">
        <f>'Danh gia LN'!I84</f>
        <v/>
      </c>
      <c r="S5" s="82" t="n"/>
    </row>
    <row r="6" ht="18.75" customHeight="1">
      <c r="A6" s="5" t="n">
        <v>2</v>
      </c>
      <c r="B6" s="11" t="inlineStr">
        <is>
          <t>Kệ đỡ bình chữa cháy</t>
        </is>
      </c>
      <c r="C6" s="5" t="inlineStr">
        <is>
          <t>cái</t>
        </is>
      </c>
      <c r="D6" s="5" t="n"/>
      <c r="E6" s="5" t="n">
        <v>5</v>
      </c>
      <c r="F6" s="5" t="n">
        <v>5</v>
      </c>
      <c r="G6" s="5" t="n"/>
      <c r="H6" s="5" t="n"/>
      <c r="I6" s="85">
        <f>SUM(D6:H6)</f>
        <v/>
      </c>
      <c r="J6" s="6" t="n">
        <v>110000</v>
      </c>
      <c r="K6" s="6">
        <f>J6*I6</f>
        <v/>
      </c>
      <c r="L6" s="28" t="n">
        <v>0.1</v>
      </c>
      <c r="M6" s="30">
        <f>K6*L6</f>
        <v/>
      </c>
      <c r="N6" s="50" t="inlineStr">
        <is>
          <t>vn</t>
        </is>
      </c>
      <c r="O6" s="86">
        <f>'Bao gia'!J27</f>
        <v/>
      </c>
      <c r="P6" s="86">
        <f>'Bao gia'!K27</f>
        <v/>
      </c>
      <c r="Q6" s="87">
        <f>'Danh gia LN'!H85</f>
        <v/>
      </c>
      <c r="R6" s="87">
        <f>'Danh gia LN'!I85</f>
        <v/>
      </c>
      <c r="S6" s="82" t="n"/>
    </row>
    <row r="7" ht="18.75" customHeight="1">
      <c r="A7" s="5" t="n">
        <v>3</v>
      </c>
      <c r="B7" s="11" t="inlineStr">
        <is>
          <t>BÌNH BỘT ABC 8KG</t>
        </is>
      </c>
      <c r="C7" s="5" t="inlineStr">
        <is>
          <t>cái</t>
        </is>
      </c>
      <c r="D7" s="5" t="n"/>
      <c r="E7" s="5" t="n">
        <v>10</v>
      </c>
      <c r="F7" s="5" t="n">
        <v>10</v>
      </c>
      <c r="G7" s="5" t="n"/>
      <c r="H7" s="5" t="n"/>
      <c r="I7" s="85">
        <f>SUM(D7:H7)</f>
        <v/>
      </c>
      <c r="J7" s="6" t="n">
        <v>550000</v>
      </c>
      <c r="K7" s="6">
        <f>J7*I7</f>
        <v/>
      </c>
      <c r="L7" s="28" t="n">
        <v>0.08</v>
      </c>
      <c r="M7" s="30">
        <f>K7*L7</f>
        <v/>
      </c>
      <c r="N7" s="50" t="inlineStr">
        <is>
          <t>vn</t>
        </is>
      </c>
      <c r="O7" s="86">
        <f>'Bao gia'!J28</f>
        <v/>
      </c>
      <c r="P7" s="86">
        <f>'Bao gia'!K28</f>
        <v/>
      </c>
      <c r="Q7" s="87">
        <f>'Danh gia LN'!H86</f>
        <v/>
      </c>
      <c r="R7" s="87">
        <f>'Danh gia LN'!I86</f>
        <v/>
      </c>
      <c r="S7" s="82" t="n"/>
    </row>
    <row r="8" ht="18.75" customHeight="1">
      <c r="A8" s="5" t="n">
        <v>4</v>
      </c>
      <c r="B8" s="11" t="inlineStr">
        <is>
          <t>Sơ đồ chỉ dẫn thoát hiểm 400x600</t>
        </is>
      </c>
      <c r="C8" s="5" t="inlineStr">
        <is>
          <t>cái</t>
        </is>
      </c>
      <c r="D8" s="5" t="n">
        <v>5</v>
      </c>
      <c r="E8" s="5" t="n">
        <v>6</v>
      </c>
      <c r="F8" s="5" t="n">
        <v>6</v>
      </c>
      <c r="G8" s="5" t="n">
        <v>10</v>
      </c>
      <c r="H8" s="5" t="n">
        <v>8</v>
      </c>
      <c r="I8" s="85">
        <f>SUM(D8:H8)</f>
        <v/>
      </c>
      <c r="J8" s="6" t="n">
        <v>150000</v>
      </c>
      <c r="K8" s="6">
        <f>J8*I8</f>
        <v/>
      </c>
      <c r="L8" s="28" t="n">
        <v>0.08</v>
      </c>
      <c r="M8" s="30">
        <f>K8*L8</f>
        <v/>
      </c>
      <c r="N8" s="50" t="inlineStr">
        <is>
          <t>vn</t>
        </is>
      </c>
      <c r="O8" s="86">
        <f>'Bao gia'!J32</f>
        <v/>
      </c>
      <c r="P8" s="86">
        <f>'Bao gia'!K32</f>
        <v/>
      </c>
      <c r="Q8" s="87">
        <f>'Danh gia LN'!H90</f>
        <v/>
      </c>
      <c r="R8" s="87">
        <f>'Danh gia LN'!I90</f>
        <v/>
      </c>
      <c r="S8" s="82" t="n"/>
    </row>
    <row r="9" ht="18.75" customFormat="1" customHeight="1" s="10">
      <c r="A9" s="35" t="n"/>
      <c r="B9" s="36" t="inlineStr">
        <is>
          <t>TỔNG TRƯỚC THUẾ</t>
        </is>
      </c>
      <c r="C9" s="31" t="n"/>
      <c r="D9" s="37" t="n"/>
      <c r="E9" s="37" t="n"/>
      <c r="F9" s="37" t="n"/>
      <c r="G9" s="37" t="n"/>
      <c r="H9" s="37" t="n"/>
      <c r="I9" s="5" t="n"/>
      <c r="J9" s="37" t="n"/>
      <c r="K9" s="38">
        <f>SUM(K5:K8)</f>
        <v/>
      </c>
      <c r="L9" s="39">
        <f>SUM(L5:L8)</f>
        <v/>
      </c>
      <c r="M9" s="38">
        <f>SUM(M5:M8)</f>
        <v/>
      </c>
      <c r="N9" s="50" t="inlineStr">
        <is>
          <t>vn</t>
        </is>
      </c>
      <c r="O9" s="84" t="n"/>
      <c r="P9" s="84" t="n"/>
      <c r="Q9" s="84" t="n"/>
      <c r="R9" s="84" t="n"/>
      <c r="S9" s="82" t="n"/>
    </row>
    <row r="10" ht="18.75" customHeight="1">
      <c r="B10" s="36" t="inlineStr">
        <is>
          <t>TỔNG SAU THUẾ</t>
        </is>
      </c>
      <c r="C10" s="32" t="n"/>
      <c r="D10" s="32" t="n"/>
      <c r="E10" s="32" t="n"/>
      <c r="F10" s="32" t="n"/>
      <c r="G10" s="32" t="n"/>
      <c r="H10" s="32" t="n"/>
      <c r="I10" s="33" t="n"/>
      <c r="J10" s="32" t="n"/>
      <c r="K10" s="58">
        <f>K9+M9</f>
        <v/>
      </c>
      <c r="L10" s="34" t="n"/>
      <c r="M10" s="27" t="n"/>
      <c r="N10" s="50" t="n"/>
      <c r="O10" s="84" t="n"/>
      <c r="P10" s="84" t="n"/>
      <c r="Q10" s="84" t="n"/>
      <c r="R10" s="84" t="n"/>
      <c r="S10" s="82" t="n"/>
    </row>
    <row r="11" ht="18.75" customHeight="1">
      <c r="B11" s="36" t="n"/>
      <c r="O11" s="82" t="n"/>
      <c r="P11" s="82" t="n"/>
      <c r="Q11" s="82" t="n"/>
      <c r="R11" s="82" t="n"/>
      <c r="S11" s="82" t="n"/>
    </row>
  </sheetData>
  <mergeCells count="2">
    <mergeCell ref="A2:L2"/>
    <mergeCell ref="A1:L1"/>
  </mergeCells>
  <pageMargins left="0.7" right="0.7" top="0.75" bottom="0.75" header="0.3" footer="0.3"/>
  <pageSetup orientation="landscape" paperSize="9" verticalDpi="0"/>
</worksheet>
</file>

<file path=xl/worksheets/sheet2.xml><?xml version="1.0" encoding="utf-8"?>
<worksheet xmlns="http://schemas.openxmlformats.org/spreadsheetml/2006/main">
  <sheetPr>
    <outlinePr summaryBelow="1" summaryRight="1"/>
    <pageSetUpPr/>
  </sheetPr>
  <dimension ref="A1:N35"/>
  <sheetViews>
    <sheetView tabSelected="1" view="pageBreakPreview" zoomScale="60" zoomScaleNormal="100" workbookViewId="0">
      <selection activeCell="B29" sqref="B29"/>
    </sheetView>
  </sheetViews>
  <sheetFormatPr baseColWidth="8" defaultColWidth="8.7109375" defaultRowHeight="17.25"/>
  <cols>
    <col width="7.28515625" customWidth="1" style="18" min="1" max="1"/>
    <col width="50.85546875" customWidth="1" style="21" min="2" max="2"/>
    <col width="8.28515625" customWidth="1" style="19" min="3" max="3"/>
    <col width="15" customWidth="1" style="19" min="4" max="4"/>
    <col width="17.85546875" customWidth="1" style="23" min="5" max="5"/>
    <col width="16.42578125" customWidth="1" style="20" min="6" max="6"/>
    <col width="16" customWidth="1" style="53" min="7" max="7"/>
    <col width="15.5703125" customWidth="1" style="46" min="8" max="8"/>
    <col width="10.85546875" customWidth="1" style="1" min="9" max="9"/>
    <col width="22" customWidth="1" style="1" min="10" max="16384"/>
    <col width="22" customWidth="1" min="11" max="11"/>
    <col width="22" customWidth="1" min="12" max="12"/>
    <col width="22" customWidth="1" min="13" max="13"/>
  </cols>
  <sheetData>
    <row r="1" ht="18.75" customHeight="1">
      <c r="A1" s="60" t="inlineStr">
        <is>
          <t>BẢNG TỔNG HỢP THIẾT BỊ</t>
        </is>
      </c>
      <c r="J1" s="82" t="n"/>
      <c r="K1" s="82" t="n"/>
      <c r="L1" s="82" t="n"/>
      <c r="M1" s="82" t="n"/>
      <c r="N1" s="82" t="n"/>
    </row>
    <row r="2" ht="44.25" customHeight="1">
      <c r="A2" s="61">
        <f>#REF!</f>
        <v/>
      </c>
      <c r="J2" s="82" t="n"/>
      <c r="K2" s="82" t="n"/>
      <c r="L2" s="82" t="n"/>
      <c r="M2" s="82" t="n"/>
      <c r="N2" s="82" t="n"/>
    </row>
    <row r="3" ht="37.5" customHeight="1">
      <c r="A3" s="16" t="inlineStr">
        <is>
          <t>STT</t>
        </is>
      </c>
      <c r="B3" s="16" t="inlineStr">
        <is>
          <t>Tên thiết bị</t>
        </is>
      </c>
      <c r="C3" s="16" t="inlineStr">
        <is>
          <t>Đơn vị</t>
        </is>
      </c>
      <c r="D3" s="16" t="inlineStr">
        <is>
          <t>Khối lượng</t>
        </is>
      </c>
      <c r="E3" s="4" t="inlineStr">
        <is>
          <t>Đơn giá trước thuế</t>
        </is>
      </c>
      <c r="F3" s="4" t="inlineStr">
        <is>
          <t>Thành tiền trước thuế</t>
        </is>
      </c>
      <c r="G3" s="25" t="inlineStr">
        <is>
          <t>Thuế suất</t>
        </is>
      </c>
      <c r="H3" s="55" t="inlineStr">
        <is>
          <t xml:space="preserve">Tiền thuế </t>
        </is>
      </c>
      <c r="I3" s="4" t="inlineStr">
        <is>
          <t>NSX</t>
        </is>
      </c>
      <c r="J3" s="83" t="inlineStr">
        <is>
          <t>Giá vốn vật tư, thiết bị (điền giá thực tế)</t>
        </is>
      </c>
      <c r="K3" s="83" t="inlineStr">
        <is>
          <t>Giá vốn nhân công (điền giá thực tế)</t>
        </is>
      </c>
      <c r="L3" s="83" t="inlineStr">
        <is>
          <t>Đơn giá vật tư đề xuất – GIÁ CHỐT (trước thuế)</t>
        </is>
      </c>
      <c r="M3" s="83" t="inlineStr">
        <is>
          <t>Đơn giá nhân công đề xuất – GIÁ CHỐT (trước thuế)</t>
        </is>
      </c>
      <c r="N3" s="82" t="n"/>
    </row>
    <row r="4" ht="37.5" customHeight="1">
      <c r="A4" s="15" t="n">
        <v>1</v>
      </c>
      <c r="B4" s="11" t="inlineStr">
        <is>
          <t>Trung tâm báo cháy 10 kênh bao gồm Acquy</t>
        </is>
      </c>
      <c r="C4" s="15" t="inlineStr">
        <is>
          <t>cái</t>
        </is>
      </c>
      <c r="D4" s="15" t="n">
        <v>2</v>
      </c>
      <c r="E4" s="22" t="n">
        <v>8500000</v>
      </c>
      <c r="F4" s="24">
        <f>D4*E4</f>
        <v/>
      </c>
      <c r="G4" s="52" t="n">
        <v>0.08</v>
      </c>
      <c r="H4" s="56">
        <f>F4*G4</f>
        <v/>
      </c>
      <c r="I4" s="40" t="inlineStr">
        <is>
          <t>Taiwan</t>
        </is>
      </c>
      <c r="J4" s="88" t="n">
        <v>8600000</v>
      </c>
      <c r="K4" s="88" t="n">
        <v>1500000</v>
      </c>
      <c r="L4" s="87">
        <f>'Danh gia LN'!H62</f>
        <v/>
      </c>
      <c r="M4" s="87">
        <f>'Danh gia LN'!I62</f>
        <v/>
      </c>
      <c r="N4" s="82" t="n"/>
    </row>
    <row r="5" ht="18.75" customHeight="1">
      <c r="A5" s="15" t="n">
        <v>2</v>
      </c>
      <c r="B5" s="11" t="inlineStr">
        <is>
          <t>Còi đèn báo cháy kết hợp</t>
        </is>
      </c>
      <c r="C5" s="15" t="inlineStr">
        <is>
          <t>cái</t>
        </is>
      </c>
      <c r="D5" s="15" t="n">
        <v>21</v>
      </c>
      <c r="E5" s="22" t="n">
        <v>250000</v>
      </c>
      <c r="F5" s="24">
        <f>D5*E5</f>
        <v/>
      </c>
      <c r="G5" s="52" t="n">
        <v>0.08</v>
      </c>
      <c r="H5" s="56">
        <f>F5*G5</f>
        <v/>
      </c>
      <c r="I5" s="40" t="inlineStr">
        <is>
          <t>TQ</t>
        </is>
      </c>
      <c r="J5" s="88" t="n">
        <v>252000</v>
      </c>
      <c r="K5" s="88" t="n">
        <v>100000</v>
      </c>
      <c r="L5" s="87">
        <f>'Danh gia LN'!H63</f>
        <v/>
      </c>
      <c r="M5" s="87">
        <f>'Danh gia LN'!I63</f>
        <v/>
      </c>
      <c r="N5" s="82" t="n"/>
    </row>
    <row r="6" ht="18.75" customHeight="1">
      <c r="A6" s="15">
        <f>A5+1</f>
        <v/>
      </c>
      <c r="B6" s="11" t="inlineStr">
        <is>
          <t>Nút ấn khẩn tròn lắp nổi</t>
        </is>
      </c>
      <c r="C6" s="15" t="inlineStr">
        <is>
          <t>cái</t>
        </is>
      </c>
      <c r="D6" s="15" t="n">
        <v>21</v>
      </c>
      <c r="E6" s="22" t="n">
        <v>200000</v>
      </c>
      <c r="F6" s="24">
        <f>D6*E6</f>
        <v/>
      </c>
      <c r="G6" s="52" t="n">
        <v>0.08</v>
      </c>
      <c r="H6" s="56">
        <f>F6*G6</f>
        <v/>
      </c>
      <c r="I6" s="40" t="inlineStr">
        <is>
          <t>TQ</t>
        </is>
      </c>
      <c r="J6" s="88" t="n">
        <v>205000</v>
      </c>
      <c r="K6" s="88" t="n">
        <v>100000</v>
      </c>
      <c r="L6" s="87">
        <f>'Danh gia LN'!H64</f>
        <v/>
      </c>
      <c r="M6" s="87">
        <f>'Danh gia LN'!I64</f>
        <v/>
      </c>
      <c r="N6" s="82" t="n"/>
    </row>
    <row r="7" ht="18.75" customHeight="1">
      <c r="A7" s="15">
        <f>A6+1</f>
        <v/>
      </c>
      <c r="B7" s="11" t="inlineStr">
        <is>
          <t>Đầu báo khói quang 24VDC</t>
        </is>
      </c>
      <c r="C7" s="15" t="inlineStr">
        <is>
          <t>cái</t>
        </is>
      </c>
      <c r="D7" s="15" t="n">
        <v>287</v>
      </c>
      <c r="E7" s="22" t="n">
        <v>250000</v>
      </c>
      <c r="F7" s="24">
        <f>D7*E7</f>
        <v/>
      </c>
      <c r="G7" s="52" t="n">
        <v>0.08</v>
      </c>
      <c r="H7" s="56">
        <f>F7*G7</f>
        <v/>
      </c>
      <c r="I7" s="40" t="inlineStr">
        <is>
          <t>Taiwan</t>
        </is>
      </c>
      <c r="J7" s="88" t="n">
        <v>242000</v>
      </c>
      <c r="K7" s="88" t="n">
        <v>100000</v>
      </c>
      <c r="L7" s="87">
        <f>'Danh gia LN'!H65</f>
        <v/>
      </c>
      <c r="M7" s="87">
        <f>'Danh gia LN'!I65</f>
        <v/>
      </c>
      <c r="N7" s="82" t="n"/>
    </row>
    <row r="8" ht="18.75" customHeight="1">
      <c r="A8" s="15">
        <f>A7+1</f>
        <v/>
      </c>
      <c r="B8" s="11" t="inlineStr">
        <is>
          <t>Đèn báo phòng</t>
        </is>
      </c>
      <c r="C8" s="15" t="inlineStr">
        <is>
          <t>cái</t>
        </is>
      </c>
      <c r="D8" s="15" t="n">
        <v>70</v>
      </c>
      <c r="E8" s="22" t="n">
        <v>50000</v>
      </c>
      <c r="F8" s="24">
        <f>D8*E8</f>
        <v/>
      </c>
      <c r="G8" s="52" t="n">
        <v>0.08</v>
      </c>
      <c r="H8" s="56">
        <f>F8*G8</f>
        <v/>
      </c>
      <c r="I8" s="40" t="inlineStr">
        <is>
          <t>VN</t>
        </is>
      </c>
      <c r="J8" s="88" t="n">
        <v>116000</v>
      </c>
      <c r="K8" s="88" t="n">
        <v>100000</v>
      </c>
      <c r="L8" s="87">
        <f>'Danh gia LN'!H66</f>
        <v/>
      </c>
      <c r="M8" s="87">
        <f>'Danh gia LN'!I66</f>
        <v/>
      </c>
      <c r="N8" s="82" t="n"/>
    </row>
    <row r="9" ht="18.75" customHeight="1">
      <c r="A9" s="15">
        <f>A8+1</f>
        <v/>
      </c>
      <c r="B9" s="11" t="inlineStr">
        <is>
          <t>Cọc tiếp địa mạ đồng D16 L=2,4m</t>
        </is>
      </c>
      <c r="C9" s="15" t="inlineStr">
        <is>
          <t>cái</t>
        </is>
      </c>
      <c r="D9" s="15" t="n">
        <v>2</v>
      </c>
      <c r="E9" s="22" t="n">
        <v>280000</v>
      </c>
      <c r="F9" s="24">
        <f>D9*E9</f>
        <v/>
      </c>
      <c r="G9" s="52" t="n">
        <v>0.1</v>
      </c>
      <c r="H9" s="56">
        <f>F9*G9</f>
        <v/>
      </c>
      <c r="I9" s="40" t="inlineStr">
        <is>
          <t>ấn độ</t>
        </is>
      </c>
      <c r="J9" s="88" t="n">
        <v>252000</v>
      </c>
      <c r="K9" s="88" t="n">
        <v>20000</v>
      </c>
      <c r="L9" s="87">
        <f>'Danh gia LN'!H67</f>
        <v/>
      </c>
      <c r="M9" s="87">
        <f>'Danh gia LN'!I67</f>
        <v/>
      </c>
      <c r="N9" s="82" t="n"/>
    </row>
    <row r="10" ht="18.75" customHeight="1">
      <c r="A10" s="15">
        <f>A9+1</f>
        <v/>
      </c>
      <c r="B10" s="11" t="inlineStr">
        <is>
          <t>Co thép đen hàn DN65</t>
        </is>
      </c>
      <c r="C10" s="15" t="inlineStr">
        <is>
          <t>cái</t>
        </is>
      </c>
      <c r="D10" s="15" t="n">
        <v>56</v>
      </c>
      <c r="E10" s="22" t="n">
        <v>65000</v>
      </c>
      <c r="F10" s="24">
        <f>D10*E10</f>
        <v/>
      </c>
      <c r="G10" s="52" t="n">
        <v>0.1</v>
      </c>
      <c r="H10" s="56">
        <f>F10*G10</f>
        <v/>
      </c>
      <c r="I10" s="40" t="inlineStr">
        <is>
          <t>TQ</t>
        </is>
      </c>
      <c r="J10" s="88" t="n">
        <v>53000</v>
      </c>
      <c r="K10" s="88" t="n">
        <v>25000</v>
      </c>
      <c r="L10" s="87">
        <f>'Danh gia LN'!H68</f>
        <v/>
      </c>
      <c r="M10" s="87">
        <f>'Danh gia LN'!I68</f>
        <v/>
      </c>
      <c r="N10" s="82" t="n"/>
    </row>
    <row r="11" ht="18.75" customHeight="1">
      <c r="A11" s="15">
        <f>A10+1</f>
        <v/>
      </c>
      <c r="B11" s="11" t="inlineStr">
        <is>
          <t>Co thép đen hàn DN50</t>
        </is>
      </c>
      <c r="C11" s="15" t="inlineStr">
        <is>
          <t>cái</t>
        </is>
      </c>
      <c r="D11" s="15" t="n">
        <v>265</v>
      </c>
      <c r="E11" s="22" t="n">
        <v>50000</v>
      </c>
      <c r="F11" s="24">
        <f>D11*E11</f>
        <v/>
      </c>
      <c r="G11" s="52" t="n">
        <v>0.1</v>
      </c>
      <c r="H11" s="56">
        <f>F11*G11</f>
        <v/>
      </c>
      <c r="I11" s="40" t="inlineStr">
        <is>
          <t>TQ</t>
        </is>
      </c>
      <c r="J11" s="88" t="n">
        <v>42000</v>
      </c>
      <c r="K11" s="88" t="n">
        <v>25000</v>
      </c>
      <c r="L11" s="87">
        <f>'Danh gia LN'!H69</f>
        <v/>
      </c>
      <c r="M11" s="87">
        <f>'Danh gia LN'!I69</f>
        <v/>
      </c>
      <c r="N11" s="82" t="n"/>
    </row>
    <row r="12" ht="18.75" customHeight="1">
      <c r="A12" s="15">
        <f>A11+1</f>
        <v/>
      </c>
      <c r="B12" s="11" t="inlineStr">
        <is>
          <t>Tê thép đen hàn DN65</t>
        </is>
      </c>
      <c r="C12" s="15" t="inlineStr">
        <is>
          <t>cái</t>
        </is>
      </c>
      <c r="D12" s="15" t="n">
        <v>22</v>
      </c>
      <c r="E12" s="22" t="n">
        <v>165000</v>
      </c>
      <c r="F12" s="24">
        <f>D12*E12</f>
        <v/>
      </c>
      <c r="G12" s="52" t="n">
        <v>0.1</v>
      </c>
      <c r="H12" s="56">
        <f>F12*G12</f>
        <v/>
      </c>
      <c r="I12" s="40" t="inlineStr">
        <is>
          <t>TQ</t>
        </is>
      </c>
      <c r="J12" s="88" t="n">
        <v>95000</v>
      </c>
      <c r="K12" s="88" t="n">
        <v>25000</v>
      </c>
      <c r="L12" s="87">
        <f>'Danh gia LN'!H70</f>
        <v/>
      </c>
      <c r="M12" s="87">
        <f>'Danh gia LN'!I70</f>
        <v/>
      </c>
      <c r="N12" s="82" t="n"/>
    </row>
    <row r="13" ht="18.75" customFormat="1" customHeight="1" s="69">
      <c r="A13" s="62">
        <f>A12+1</f>
        <v/>
      </c>
      <c r="B13" s="63" t="inlineStr">
        <is>
          <t>Tê giảm thép đen hàn DN65</t>
        </is>
      </c>
      <c r="C13" s="62" t="inlineStr">
        <is>
          <t>cái</t>
        </is>
      </c>
      <c r="D13" s="62" t="n">
        <v>10</v>
      </c>
      <c r="E13" s="64" t="n">
        <v>1650000</v>
      </c>
      <c r="F13" s="65">
        <f>D13*E13</f>
        <v/>
      </c>
      <c r="G13" s="66" t="n">
        <v>0.1</v>
      </c>
      <c r="H13" s="67">
        <f>F13*G13</f>
        <v/>
      </c>
      <c r="I13" s="68" t="inlineStr">
        <is>
          <t>TQ</t>
        </is>
      </c>
      <c r="J13" s="88" t="n">
        <v>190000</v>
      </c>
      <c r="K13" s="88" t="n">
        <v>50000</v>
      </c>
      <c r="L13" s="87">
        <f>'Danh gia LN'!H71</f>
        <v/>
      </c>
      <c r="M13" s="87">
        <f>'Danh gia LN'!I71</f>
        <v/>
      </c>
      <c r="N13" s="82" t="n"/>
    </row>
    <row r="14" ht="18.75" customHeight="1">
      <c r="A14" s="15">
        <f>A13+1</f>
        <v/>
      </c>
      <c r="B14" s="11" t="inlineStr">
        <is>
          <t>Tê thép hàn tráng kẽm DN50</t>
        </is>
      </c>
      <c r="C14" s="15" t="inlineStr">
        <is>
          <t>cái</t>
        </is>
      </c>
      <c r="D14" s="15" t="n">
        <v>52</v>
      </c>
      <c r="E14" s="22" t="n">
        <v>150000</v>
      </c>
      <c r="F14" s="24">
        <f>D14*E14</f>
        <v/>
      </c>
      <c r="G14" s="52" t="n">
        <v>0.1</v>
      </c>
      <c r="H14" s="56">
        <f>F14*G14</f>
        <v/>
      </c>
      <c r="I14" s="40" t="inlineStr">
        <is>
          <t>TQ</t>
        </is>
      </c>
      <c r="J14" s="88" t="n">
        <v>75000</v>
      </c>
      <c r="K14" s="88" t="n">
        <v>25000</v>
      </c>
      <c r="L14" s="87">
        <f>'Danh gia LN'!H72</f>
        <v/>
      </c>
      <c r="M14" s="87">
        <f>'Danh gia LN'!I72</f>
        <v/>
      </c>
      <c r="N14" s="82" t="n"/>
    </row>
    <row r="15" ht="18.75" customHeight="1">
      <c r="A15" s="15">
        <f>A14+1</f>
        <v/>
      </c>
      <c r="B15" s="17" t="inlineStr">
        <is>
          <t>Tê giảm thép hàn DN100/65</t>
        </is>
      </c>
      <c r="C15" s="15" t="inlineStr">
        <is>
          <t>cái</t>
        </is>
      </c>
      <c r="D15" s="15" t="n">
        <v>1</v>
      </c>
      <c r="E15" s="22" t="n">
        <v>180000</v>
      </c>
      <c r="F15" s="24">
        <f>D15*E15</f>
        <v/>
      </c>
      <c r="G15" s="52" t="n">
        <v>0.1</v>
      </c>
      <c r="H15" s="56">
        <f>F15*G15</f>
        <v/>
      </c>
      <c r="I15" s="40" t="inlineStr">
        <is>
          <t>TQ</t>
        </is>
      </c>
      <c r="J15" s="88" t="n">
        <v>245000</v>
      </c>
      <c r="K15" s="88" t="n">
        <v>50000</v>
      </c>
      <c r="L15" s="87">
        <f>'Danh gia LN'!H73</f>
        <v/>
      </c>
      <c r="M15" s="87">
        <f>'Danh gia LN'!I73</f>
        <v/>
      </c>
      <c r="N15" s="82" t="n"/>
    </row>
    <row r="16" ht="18.75" customHeight="1">
      <c r="A16" s="15">
        <f>A15+1</f>
        <v/>
      </c>
      <c r="B16" s="17" t="inlineStr">
        <is>
          <t>Tê giảm thép hàn DN65/50</t>
        </is>
      </c>
      <c r="C16" s="15" t="inlineStr">
        <is>
          <t>cái</t>
        </is>
      </c>
      <c r="D16" s="15" t="n">
        <v>5</v>
      </c>
      <c r="E16" s="22" t="n">
        <v>150000</v>
      </c>
      <c r="F16" s="24">
        <f>D16*E16</f>
        <v/>
      </c>
      <c r="G16" s="52" t="n">
        <v>0.1</v>
      </c>
      <c r="H16" s="56">
        <f>F16*G16</f>
        <v/>
      </c>
      <c r="I16" s="40" t="inlineStr">
        <is>
          <t>TQ</t>
        </is>
      </c>
      <c r="J16" s="88" t="n">
        <v>190000</v>
      </c>
      <c r="K16" s="88" t="n">
        <v>50000</v>
      </c>
      <c r="L16" s="87">
        <f>'Danh gia LN'!H74</f>
        <v/>
      </c>
      <c r="M16" s="87">
        <f>'Danh gia LN'!I74</f>
        <v/>
      </c>
      <c r="N16" s="82" t="n"/>
    </row>
    <row r="17" ht="18.75" customHeight="1">
      <c r="A17" s="15">
        <f>A16+1</f>
        <v/>
      </c>
      <c r="B17" s="17" t="inlineStr">
        <is>
          <t>Côn giảm thép hàn DN80/65</t>
        </is>
      </c>
      <c r="C17" s="15" t="inlineStr">
        <is>
          <t>cái</t>
        </is>
      </c>
      <c r="D17" s="15" t="n">
        <v>1</v>
      </c>
      <c r="E17" s="22" t="n">
        <v>80000</v>
      </c>
      <c r="F17" s="24">
        <f>D17*E17</f>
        <v/>
      </c>
      <c r="G17" s="52" t="n">
        <v>0.1</v>
      </c>
      <c r="H17" s="56">
        <f>F17*G17</f>
        <v/>
      </c>
      <c r="I17" s="40" t="inlineStr">
        <is>
          <t>TQ</t>
        </is>
      </c>
      <c r="J17" s="88" t="n">
        <v>231000</v>
      </c>
      <c r="K17" s="88" t="n">
        <v>50000</v>
      </c>
      <c r="L17" s="87">
        <f>'Danh gia LN'!H75</f>
        <v/>
      </c>
      <c r="M17" s="87">
        <f>'Danh gia LN'!I75</f>
        <v/>
      </c>
      <c r="N17" s="82" t="n"/>
    </row>
    <row r="18" ht="18.75" customHeight="1">
      <c r="A18" s="15">
        <f>A17+1</f>
        <v/>
      </c>
      <c r="B18" s="17" t="inlineStr">
        <is>
          <t>Mặt bích thép DN80</t>
        </is>
      </c>
      <c r="C18" s="15" t="inlineStr">
        <is>
          <t>cái</t>
        </is>
      </c>
      <c r="D18" s="15" t="n">
        <v>1</v>
      </c>
      <c r="E18" s="22" t="n">
        <v>90000</v>
      </c>
      <c r="F18" s="24">
        <f>D18*E18</f>
        <v/>
      </c>
      <c r="G18" s="52" t="n">
        <v>0.1</v>
      </c>
      <c r="H18" s="56">
        <f>F18*G18</f>
        <v/>
      </c>
      <c r="I18" s="40" t="inlineStr">
        <is>
          <t>TQ</t>
        </is>
      </c>
      <c r="J18" s="88" t="n">
        <v>95000</v>
      </c>
      <c r="K18" s="88" t="n">
        <v>50000</v>
      </c>
      <c r="L18" s="87">
        <f>'Danh gia LN'!H76</f>
        <v/>
      </c>
      <c r="M18" s="87">
        <f>'Danh gia LN'!I76</f>
        <v/>
      </c>
      <c r="N18" s="82" t="n"/>
    </row>
    <row r="19" ht="18.75" customHeight="1">
      <c r="A19" s="15">
        <f>A18+1</f>
        <v/>
      </c>
      <c r="B19" s="17" t="inlineStr">
        <is>
          <t>Roăng su DN80</t>
        </is>
      </c>
      <c r="C19" s="15" t="inlineStr">
        <is>
          <t>cái</t>
        </is>
      </c>
      <c r="D19" s="15" t="n">
        <v>1</v>
      </c>
      <c r="E19" s="22" t="n">
        <v>150000</v>
      </c>
      <c r="F19" s="24">
        <f>D19*E19</f>
        <v/>
      </c>
      <c r="G19" s="52" t="n">
        <v>0.08</v>
      </c>
      <c r="H19" s="56">
        <f>F19*G19</f>
        <v/>
      </c>
      <c r="I19" s="40" t="inlineStr">
        <is>
          <t>TQ</t>
        </is>
      </c>
      <c r="J19" s="88" t="n">
        <v>17000</v>
      </c>
      <c r="K19" s="88" t="n">
        <v>11538</v>
      </c>
      <c r="L19" s="87">
        <f>'Danh gia LN'!H77</f>
        <v/>
      </c>
      <c r="M19" s="87">
        <f>'Danh gia LN'!I77</f>
        <v/>
      </c>
      <c r="N19" s="82" t="n"/>
    </row>
    <row r="20" ht="18.75" customHeight="1">
      <c r="A20" s="15">
        <f>A19+1</f>
        <v/>
      </c>
      <c r="B20" s="17">
        <f>'[1]ĐƠN GIÁ'!B53</f>
        <v/>
      </c>
      <c r="C20" s="15" t="inlineStr">
        <is>
          <t>cái</t>
        </is>
      </c>
      <c r="D20" s="15" t="n">
        <v>1</v>
      </c>
      <c r="E20" s="22" t="n">
        <v>350000</v>
      </c>
      <c r="F20" s="24">
        <f>D20*E20</f>
        <v/>
      </c>
      <c r="G20" s="52" t="n">
        <v>0.1</v>
      </c>
      <c r="H20" s="56">
        <f>F20*G20</f>
        <v/>
      </c>
      <c r="I20" s="40" t="inlineStr">
        <is>
          <t>TQ</t>
        </is>
      </c>
      <c r="J20" s="88" t="n">
        <v>200000</v>
      </c>
      <c r="K20" s="88" t="n">
        <v>100000</v>
      </c>
      <c r="L20" s="87">
        <f>'Danh gia LN'!H78</f>
        <v/>
      </c>
      <c r="M20" s="87">
        <f>'Danh gia LN'!I78</f>
        <v/>
      </c>
      <c r="N20" s="82" t="n"/>
    </row>
    <row r="21" ht="18.75" customFormat="1" customHeight="1" s="69">
      <c r="A21" s="62">
        <f>A20+1</f>
        <v/>
      </c>
      <c r="B21" s="63" t="inlineStr">
        <is>
          <t>Rơ le kiểm tra mực nước</t>
        </is>
      </c>
      <c r="C21" s="62" t="inlineStr">
        <is>
          <t>cái</t>
        </is>
      </c>
      <c r="D21" s="62" t="n">
        <v>4</v>
      </c>
      <c r="E21" s="64" t="n"/>
      <c r="F21" s="65">
        <f>D21*E21</f>
        <v/>
      </c>
      <c r="G21" s="66" t="n">
        <v>0.1</v>
      </c>
      <c r="H21" s="67">
        <f>F21*G21</f>
        <v/>
      </c>
      <c r="I21" s="68" t="inlineStr">
        <is>
          <t>TQ</t>
        </is>
      </c>
      <c r="J21" s="88" t="n">
        <v>2205000</v>
      </c>
      <c r="K21" s="88" t="n">
        <v>150000</v>
      </c>
      <c r="L21" s="87">
        <f>'Danh gia LN'!H79</f>
        <v/>
      </c>
      <c r="M21" s="87">
        <f>'Danh gia LN'!I79</f>
        <v/>
      </c>
      <c r="N21" s="82" t="n"/>
    </row>
    <row r="22" ht="37.5" customHeight="1">
      <c r="A22" s="15">
        <f>A21+1</f>
        <v/>
      </c>
      <c r="B22" s="11" t="inlineStr">
        <is>
          <t>Tủ chữa cháy KT: 400x600x200mm, tole dày 0,8mm, sơn tĩnh điện màu đỏ</t>
        </is>
      </c>
      <c r="C22" s="15" t="inlineStr">
        <is>
          <t>cái</t>
        </is>
      </c>
      <c r="D22" s="15" t="n">
        <v>57</v>
      </c>
      <c r="E22" s="22" t="n">
        <v>320000</v>
      </c>
      <c r="F22" s="24">
        <f>D22*E22</f>
        <v/>
      </c>
      <c r="G22" s="52" t="n">
        <v>0.1</v>
      </c>
      <c r="H22" s="56">
        <f>F22*G22</f>
        <v/>
      </c>
      <c r="I22" s="40" t="inlineStr">
        <is>
          <t>VN</t>
        </is>
      </c>
      <c r="J22" s="88" t="n">
        <v>368000</v>
      </c>
      <c r="K22" s="88" t="n">
        <v>400000</v>
      </c>
      <c r="L22" s="87">
        <f>'Danh gia LN'!H80</f>
        <v/>
      </c>
      <c r="M22" s="87">
        <f>'Danh gia LN'!I80</f>
        <v/>
      </c>
      <c r="N22" s="82" t="n"/>
    </row>
    <row r="23" ht="37.5" customHeight="1">
      <c r="A23" s="15">
        <f>A22+1</f>
        <v/>
      </c>
      <c r="B23" s="11" t="inlineStr">
        <is>
          <t>Cuộn vòi chữa cháy Ø50 - L = 20m + lăng phun</t>
        </is>
      </c>
      <c r="C23" s="15" t="inlineStr">
        <is>
          <t>cái</t>
        </is>
      </c>
      <c r="D23" s="15" t="n">
        <v>70</v>
      </c>
      <c r="E23" s="22" t="n">
        <v>480000</v>
      </c>
      <c r="F23" s="24">
        <f>D23*E23</f>
        <v/>
      </c>
      <c r="G23" s="52" t="n">
        <v>0.08</v>
      </c>
      <c r="H23" s="56">
        <f>F23*G23</f>
        <v/>
      </c>
      <c r="I23" s="40" t="inlineStr">
        <is>
          <t>VN</t>
        </is>
      </c>
      <c r="J23" s="88" t="n">
        <v>514286</v>
      </c>
      <c r="K23" s="88" t="n">
        <v>58022</v>
      </c>
      <c r="L23" s="87">
        <f>'Danh gia LN'!H81</f>
        <v/>
      </c>
      <c r="M23" s="87">
        <f>'Danh gia LN'!I81</f>
        <v/>
      </c>
      <c r="N23" s="82" t="n"/>
    </row>
    <row r="24" ht="18.75" customHeight="1">
      <c r="A24" s="15">
        <f>A23+1</f>
        <v/>
      </c>
      <c r="B24" s="11" t="inlineStr">
        <is>
          <t>Lăng phun DN50</t>
        </is>
      </c>
      <c r="C24" s="15" t="inlineStr">
        <is>
          <t>cái</t>
        </is>
      </c>
      <c r="D24" s="15" t="n">
        <v>70</v>
      </c>
      <c r="E24" s="22" t="n">
        <v>80000</v>
      </c>
      <c r="F24" s="24">
        <f>D24*E24</f>
        <v/>
      </c>
      <c r="G24" s="52" t="n">
        <v>0.1</v>
      </c>
      <c r="H24" s="56">
        <f>F24*G24</f>
        <v/>
      </c>
      <c r="I24" s="40" t="inlineStr">
        <is>
          <t>VN</t>
        </is>
      </c>
      <c r="J24" s="88" t="n">
        <v>85714</v>
      </c>
      <c r="K24" s="88" t="n">
        <v>9670</v>
      </c>
      <c r="L24" s="87">
        <f>'Danh gia LN'!H82</f>
        <v/>
      </c>
      <c r="M24" s="87">
        <f>'Danh gia LN'!I82</f>
        <v/>
      </c>
      <c r="N24" s="82" t="n"/>
    </row>
    <row r="25" ht="18.75" customHeight="1">
      <c r="A25" s="15">
        <f>A24+1</f>
        <v/>
      </c>
      <c r="B25" s="11" t="inlineStr">
        <is>
          <t>Van góc FUJI DN50</t>
        </is>
      </c>
      <c r="C25" s="15" t="inlineStr">
        <is>
          <t>cái</t>
        </is>
      </c>
      <c r="D25" s="15" t="n">
        <v>70</v>
      </c>
      <c r="E25" s="22" t="n">
        <v>250000</v>
      </c>
      <c r="F25" s="24">
        <f>D25*E25</f>
        <v/>
      </c>
      <c r="G25" s="52" t="n">
        <v>0.1</v>
      </c>
      <c r="H25" s="56">
        <f>F25*G25</f>
        <v/>
      </c>
      <c r="I25" s="40" t="inlineStr">
        <is>
          <t>VN</t>
        </is>
      </c>
      <c r="J25" s="88" t="n">
        <v>166000</v>
      </c>
      <c r="K25" s="88" t="n">
        <v>100000</v>
      </c>
      <c r="L25" s="87">
        <f>'Danh gia LN'!H83</f>
        <v/>
      </c>
      <c r="M25" s="87">
        <f>'Danh gia LN'!I83</f>
        <v/>
      </c>
      <c r="N25" s="82" t="n"/>
    </row>
    <row r="26" ht="37.5" customHeight="1">
      <c r="A26" s="15">
        <f>A25+1</f>
        <v/>
      </c>
      <c r="B26" s="11" t="inlineStr">
        <is>
          <t>Bộ nội quy tiêu lệnh chữa cháy - Chất liệu bằng tôn</t>
        </is>
      </c>
      <c r="C26" s="15" t="inlineStr">
        <is>
          <t>cái</t>
        </is>
      </c>
      <c r="D26" s="15">
        <f>tb!I5</f>
        <v/>
      </c>
      <c r="E26" s="22" t="n">
        <v>40000</v>
      </c>
      <c r="F26" s="24">
        <f>D26*E26</f>
        <v/>
      </c>
      <c r="G26" s="52" t="n">
        <v>0.08</v>
      </c>
      <c r="H26" s="56">
        <f>F26*G26</f>
        <v/>
      </c>
      <c r="I26" s="40" t="inlineStr">
        <is>
          <t>VN</t>
        </is>
      </c>
      <c r="J26" s="88" t="n">
        <v>53000</v>
      </c>
      <c r="K26" s="88" t="n">
        <v>50000</v>
      </c>
      <c r="L26" s="87">
        <f>'Danh gia LN'!H84</f>
        <v/>
      </c>
      <c r="M26" s="87">
        <f>'Danh gia LN'!I84</f>
        <v/>
      </c>
      <c r="N26" s="82" t="n"/>
    </row>
    <row r="27" ht="18.75" customHeight="1">
      <c r="A27" s="15">
        <f>A26+1</f>
        <v/>
      </c>
      <c r="B27" s="11" t="inlineStr">
        <is>
          <t>Kệ đỡ bình chữa cháy</t>
        </is>
      </c>
      <c r="C27" s="15" t="inlineStr">
        <is>
          <t>cái</t>
        </is>
      </c>
      <c r="D27" s="15">
        <f>tb!I6</f>
        <v/>
      </c>
      <c r="E27" s="22" t="n">
        <v>110000</v>
      </c>
      <c r="F27" s="24">
        <f>D27*E27</f>
        <v/>
      </c>
      <c r="G27" s="52" t="n">
        <v>0.1</v>
      </c>
      <c r="H27" s="56">
        <f>F27*G27</f>
        <v/>
      </c>
      <c r="I27" s="40" t="inlineStr">
        <is>
          <t>VN</t>
        </is>
      </c>
      <c r="J27" s="88" t="n">
        <v>137000</v>
      </c>
      <c r="K27" s="88" t="n">
        <v>31538</v>
      </c>
      <c r="L27" s="87">
        <f>'Danh gia LN'!H85</f>
        <v/>
      </c>
      <c r="M27" s="87">
        <f>'Danh gia LN'!I85</f>
        <v/>
      </c>
      <c r="N27" s="82" t="n"/>
    </row>
    <row r="28" ht="18.75" customHeight="1">
      <c r="A28" s="15">
        <f>A27+1</f>
        <v/>
      </c>
      <c r="B28" s="11" t="inlineStr">
        <is>
          <t>BÌNH BỘT ABC 8KG</t>
        </is>
      </c>
      <c r="C28" s="15" t="inlineStr">
        <is>
          <t>cái</t>
        </is>
      </c>
      <c r="D28" s="15">
        <f>tb!I7</f>
        <v/>
      </c>
      <c r="E28" s="22" t="n">
        <v>550000</v>
      </c>
      <c r="F28" s="24">
        <f>D28*E28</f>
        <v/>
      </c>
      <c r="G28" s="52" t="n">
        <v>0.08</v>
      </c>
      <c r="H28" s="56">
        <f>F28*G28</f>
        <v/>
      </c>
      <c r="I28" s="40" t="inlineStr">
        <is>
          <t>VN</t>
        </is>
      </c>
      <c r="J28" s="88" t="n">
        <v>652000</v>
      </c>
      <c r="K28" s="88" t="n">
        <v>10769</v>
      </c>
      <c r="L28" s="87">
        <f>'Danh gia LN'!H86</f>
        <v/>
      </c>
      <c r="M28" s="87">
        <f>'Danh gia LN'!I86</f>
        <v/>
      </c>
      <c r="N28" s="82" t="n"/>
    </row>
    <row r="29" ht="18.75" customHeight="1">
      <c r="A29" s="15">
        <f>A28+1</f>
        <v/>
      </c>
      <c r="B29" s="11" t="inlineStr">
        <is>
          <t>Đèn exit</t>
        </is>
      </c>
      <c r="C29" s="15" t="inlineStr">
        <is>
          <t>cái</t>
        </is>
      </c>
      <c r="D29" s="15" t="n">
        <v>11</v>
      </c>
      <c r="E29" s="22" t="n">
        <v>200000</v>
      </c>
      <c r="F29" s="24">
        <f>D29*E29</f>
        <v/>
      </c>
      <c r="G29" s="52" t="n">
        <v>0.08</v>
      </c>
      <c r="H29" s="56">
        <f>F29*G29</f>
        <v/>
      </c>
      <c r="I29" s="40" t="inlineStr">
        <is>
          <t>VN</t>
        </is>
      </c>
      <c r="J29" s="88" t="n">
        <v>158000</v>
      </c>
      <c r="K29" s="88" t="n">
        <v>100000</v>
      </c>
      <c r="L29" s="87">
        <f>'Danh gia LN'!H87</f>
        <v/>
      </c>
      <c r="M29" s="87">
        <f>'Danh gia LN'!I87</f>
        <v/>
      </c>
      <c r="N29" s="82" t="n"/>
    </row>
    <row r="30" ht="18.75" customHeight="1">
      <c r="A30" s="15">
        <f>A29+1</f>
        <v/>
      </c>
      <c r="B30" s="11" t="inlineStr">
        <is>
          <t>Đèn chiếu sáng sự cố</t>
        </is>
      </c>
      <c r="C30" s="15" t="inlineStr">
        <is>
          <t>cái</t>
        </is>
      </c>
      <c r="D30" s="15" t="n">
        <v>54</v>
      </c>
      <c r="E30" s="22" t="n">
        <v>200000</v>
      </c>
      <c r="F30" s="24">
        <f>D30*E30</f>
        <v/>
      </c>
      <c r="G30" s="52" t="n">
        <v>0.08</v>
      </c>
      <c r="H30" s="56">
        <f>F30*G30</f>
        <v/>
      </c>
      <c r="I30" s="40" t="inlineStr">
        <is>
          <t>VN</t>
        </is>
      </c>
      <c r="J30" s="88" t="n">
        <v>190000</v>
      </c>
      <c r="K30" s="88" t="n">
        <v>100000</v>
      </c>
      <c r="L30" s="87">
        <f>'Danh gia LN'!H88</f>
        <v/>
      </c>
      <c r="M30" s="87">
        <f>'Danh gia LN'!I88</f>
        <v/>
      </c>
      <c r="N30" s="82" t="n"/>
    </row>
    <row r="31" ht="18.75" customHeight="1">
      <c r="A31" s="15">
        <f>A30+1</f>
        <v/>
      </c>
      <c r="B31" s="11" t="inlineStr">
        <is>
          <t>Đèn báo trạm bơm</t>
        </is>
      </c>
      <c r="C31" s="15" t="inlineStr">
        <is>
          <t>cái</t>
        </is>
      </c>
      <c r="D31" s="15" t="n"/>
      <c r="E31" s="22" t="n"/>
      <c r="F31" s="24">
        <f>D31*E31</f>
        <v/>
      </c>
      <c r="G31" s="52" t="n">
        <v>0.08</v>
      </c>
      <c r="H31" s="56">
        <f>F31*G31</f>
        <v/>
      </c>
      <c r="I31" s="40" t="inlineStr">
        <is>
          <t>VN</t>
        </is>
      </c>
      <c r="J31" s="88" t="n"/>
      <c r="K31" s="88" t="n"/>
      <c r="L31" s="87">
        <f>'Danh gia LN'!H89</f>
        <v/>
      </c>
      <c r="M31" s="87">
        <f>'Danh gia LN'!I89</f>
        <v/>
      </c>
      <c r="N31" s="82" t="n"/>
    </row>
    <row r="32" ht="18.75" customHeight="1">
      <c r="A32" s="15">
        <f>A31+1</f>
        <v/>
      </c>
      <c r="B32" s="11" t="inlineStr">
        <is>
          <t>Sơ đồ chỉ dẫn thoát hiểm 400x600</t>
        </is>
      </c>
      <c r="C32" s="15" t="inlineStr">
        <is>
          <t>cái</t>
        </is>
      </c>
      <c r="D32" s="15">
        <f>tb!I8</f>
        <v/>
      </c>
      <c r="E32" s="22" t="n">
        <v>150000</v>
      </c>
      <c r="F32" s="24">
        <f>D32*E32</f>
        <v/>
      </c>
      <c r="G32" s="52" t="n">
        <v>0.08</v>
      </c>
      <c r="H32" s="56">
        <f>F32*G32</f>
        <v/>
      </c>
      <c r="I32" s="40" t="inlineStr">
        <is>
          <t>VN</t>
        </is>
      </c>
      <c r="J32" s="88" t="n">
        <v>442000</v>
      </c>
      <c r="K32" s="88" t="n">
        <v>50000</v>
      </c>
      <c r="L32" s="87">
        <f>'Danh gia LN'!H90</f>
        <v/>
      </c>
      <c r="M32" s="87">
        <f>'Danh gia LN'!I90</f>
        <v/>
      </c>
      <c r="N32" s="82" t="n"/>
    </row>
    <row r="33" ht="18.75" customHeight="1">
      <c r="A33" s="15">
        <f>A32+1</f>
        <v/>
      </c>
      <c r="B33" s="11" t="inlineStr">
        <is>
          <t>Họng tiếp nước ngoài nhà 2 cửa- ngàm nhôm</t>
        </is>
      </c>
      <c r="C33" s="15" t="inlineStr">
        <is>
          <t>cái</t>
        </is>
      </c>
      <c r="D33" s="15" t="n">
        <v>3</v>
      </c>
      <c r="E33" s="22" t="n">
        <v>950000</v>
      </c>
      <c r="F33" s="24">
        <f>D33*E33</f>
        <v/>
      </c>
      <c r="G33" s="52" t="n">
        <v>0.1</v>
      </c>
      <c r="H33" s="56">
        <f>F33*G33</f>
        <v/>
      </c>
      <c r="I33" s="40" t="inlineStr">
        <is>
          <t>VN</t>
        </is>
      </c>
      <c r="J33" s="88" t="n">
        <v>1260000</v>
      </c>
      <c r="K33" s="88" t="n">
        <v>500000</v>
      </c>
      <c r="L33" s="87">
        <f>'Danh gia LN'!H91</f>
        <v/>
      </c>
      <c r="M33" s="87">
        <f>'Danh gia LN'!I91</f>
        <v/>
      </c>
      <c r="N33" s="82" t="n"/>
    </row>
    <row r="34" customFormat="1" s="46">
      <c r="A34" s="41" t="n"/>
      <c r="B34" s="42" t="inlineStr">
        <is>
          <t>TỔNG TRƯỚC THUẾ</t>
        </is>
      </c>
      <c r="C34" s="43" t="n"/>
      <c r="D34" s="43" t="n"/>
      <c r="E34" s="44" t="n"/>
      <c r="F34" s="57">
        <f>SUM(F4:F33)</f>
        <v/>
      </c>
      <c r="G34" s="57" t="n"/>
      <c r="H34" s="57">
        <f>SUM(H4:H33)</f>
        <v/>
      </c>
      <c r="I34" s="45" t="n"/>
      <c r="J34" s="84" t="n"/>
      <c r="K34" s="84" t="n"/>
      <c r="L34" s="84" t="n"/>
      <c r="M34" s="84" t="n"/>
      <c r="N34" s="82" t="n"/>
    </row>
    <row r="35" customFormat="1" s="46">
      <c r="A35" s="41" t="n"/>
      <c r="B35" s="47" t="inlineStr">
        <is>
          <t>TỔNG SAU THUẾ</t>
        </is>
      </c>
      <c r="C35" s="43" t="n"/>
      <c r="D35" s="43" t="n"/>
      <c r="E35" s="44" t="n"/>
      <c r="F35" s="57">
        <f>F34+H34</f>
        <v/>
      </c>
      <c r="G35" s="54" t="n"/>
      <c r="H35" s="45" t="n"/>
      <c r="I35" s="45" t="n"/>
      <c r="J35" s="84" t="n"/>
      <c r="K35" s="84" t="n"/>
      <c r="L35" s="84" t="n"/>
      <c r="M35" s="84" t="n"/>
      <c r="N35" s="82" t="n"/>
    </row>
  </sheetData>
  <mergeCells count="2">
    <mergeCell ref="A2:F2"/>
    <mergeCell ref="A1:F1"/>
  </mergeCells>
  <pageMargins left="0.7" right="0.7" top="0.75" bottom="0.75" header="0.3" footer="0.3"/>
  <pageSetup orientation="landscape" paperSize="9" scale="82" verticalDpi="0"/>
</worksheet>
</file>

<file path=xl/worksheets/sheet3.xml><?xml version="1.0" encoding="utf-8"?>
<worksheet xmlns="http://schemas.openxmlformats.org/spreadsheetml/2006/main">
  <sheetPr>
    <outlinePr summaryBelow="1" summaryRight="1"/>
    <pageSetUpPr/>
  </sheetPr>
  <dimension ref="A1:W111"/>
  <sheetViews>
    <sheetView zoomScale="80"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10" customWidth="1" min="3" max="3"/>
    <col width="24" customWidth="1" min="4" max="4"/>
    <col width="16" customWidth="1" min="5" max="5"/>
    <col width="16" customWidth="1" min="6" max="6"/>
    <col width="16" customWidth="1" min="7" max="7"/>
    <col width="17" customWidth="1" min="8" max="8"/>
    <col width="15" customWidth="1" min="9" max="9"/>
    <col width="17" customWidth="1" min="10" max="10"/>
    <col width="17" customWidth="1" min="11" max="11"/>
    <col width="11" customWidth="1" min="12" max="12"/>
    <col width="11" customWidth="1" min="13" max="13"/>
    <col width="16" customWidth="1" min="14" max="14"/>
    <col width="16" customWidth="1" min="15" max="15"/>
    <col width="40" customWidth="1" min="16" max="16"/>
    <col width="15" customWidth="1" min="17" max="17"/>
    <col width="44" customWidth="1" min="18" max="18"/>
    <col width="16" customWidth="1" min="19" max="19"/>
    <col width="16" customWidth="1" min="20" max="20"/>
    <col width="16" customWidth="1" min="21" max="21"/>
    <col width="16" customWidth="1" min="22" max="22"/>
    <col width="16" customWidth="1" min="23" max="23"/>
  </cols>
  <sheetData>
    <row r="1">
      <c r="A1" s="89" t="inlineStr">
        <is>
          <t>ĐÁNH GIÁ GIÁ CHỐT PHẦN PCCC – HỆ THỐNG PCCC CÁC TRƯỜNG TIỂU HỌC, THCS PHƯỜNG ĐỒNG SƠN</t>
        </is>
      </c>
    </row>
    <row r="2">
      <c r="A2" s="90" t="inlineStr">
        <is>
          <t>Chỉ điều chỉnh đơn giá vật tư/thiết bị có trong báo giá; nhân công theo định mức, các hạng mục khác giữ đơn giá dự toán. QLDA, tư vấn, nhà tạm, dự phòng tính lại theo công thức của bảng tổng dự toán. Giá vốn theo sheet 'Gia von chi tiet'.</t>
        </is>
      </c>
    </row>
    <row r="3">
      <c r="R3" s="91" t="inlineStr">
        <is>
          <t>VÙNG TÍNH HỆ SỐ TỰ ĐỘNG (không cần sửa)</t>
        </is>
      </c>
    </row>
    <row r="4">
      <c r="B4" s="92" t="inlineStr">
        <is>
          <t>Lợi nhuận tối thiểu của bên thi công trên giá vốn PCCC</t>
        </is>
      </c>
      <c r="C4" s="93" t="n"/>
      <c r="D4" s="94" t="n"/>
      <c r="E4" s="95" t="n">
        <v>0.25</v>
      </c>
      <c r="R4" s="91" t="inlineStr">
        <is>
          <t>Σ SL quy đổi × giá vốn VT – lắp đặt</t>
        </is>
      </c>
      <c r="S4" s="96">
        <f>SUMPRODUCT((L62:L91="Lắp đặt")*M62:M91*N(+E62:E91))</f>
        <v/>
      </c>
    </row>
    <row r="5">
      <c r="B5" s="92" t="inlineStr">
        <is>
          <t>Tỷ lệ trích lại chủ đầu tư (trên tổng dự toán gói sau VAT, đã làm tròn)</t>
        </is>
      </c>
      <c r="C5" s="93" t="n"/>
      <c r="D5" s="94" t="n"/>
      <c r="E5" s="95" t="n">
        <v>0.15</v>
      </c>
      <c r="R5" s="91" t="inlineStr">
        <is>
          <t>Σ SL × giá vốn – thiết bị</t>
        </is>
      </c>
      <c r="S5" s="96">
        <f>SUMPRODUCT((L62:L91="Thiết bị")*D62:D91*N(+E62:E91))</f>
        <v/>
      </c>
    </row>
    <row r="6">
      <c r="B6" s="92" t="inlineStr">
        <is>
          <t>Hệ số: giá đề xuất (vật tư và nhân công) = giá vốn × hệ số (tự tính – nhỏ nhất đạt lợi nhuận ô E4)</t>
        </is>
      </c>
      <c r="C6" s="93" t="n"/>
      <c r="D6" s="94" t="n"/>
      <c r="E6" s="97">
        <f>ROUNDUP(MAX(1,$W$27),3)</f>
        <v/>
      </c>
      <c r="F6" s="98" t="inlineStr">
        <is>
          <t>← tự tính lại khi sửa giá vốn ở sheet Bao gia hoặc sửa ô E4, E5 (vùng tính phụ ở cột R–W)</t>
        </is>
      </c>
      <c r="R6" s="91" t="inlineStr">
        <is>
          <t>VL dự toán hiện tại – lắp đặt</t>
        </is>
      </c>
      <c r="S6" s="96">
        <f>SUMIF(L62:L91,"Lắp đặt",N62:N91)</f>
        <v/>
      </c>
    </row>
    <row r="7">
      <c r="B7" s="92" t="inlineStr">
        <is>
          <t>Hệ số chi phí trực tiếp → chi phí xây dựng trước thuế: (1 + 7,3% + 2,5%) × (1 + 5,5%)</t>
        </is>
      </c>
      <c r="C7" s="93" t="n"/>
      <c r="D7" s="94" t="n"/>
      <c r="E7" s="99">
        <f>(1+7.3%+2.5%)*(1+5.5%)</f>
        <v/>
      </c>
      <c r="R7" s="91" t="inlineStr">
        <is>
          <t>Giá vốn PCCC (C)</t>
        </is>
      </c>
      <c r="S7" s="96">
        <f>J92+G111</f>
        <v/>
      </c>
    </row>
    <row r="8" ht="30" customHeight="1">
      <c r="B8" s="92" t="inlineStr">
        <is>
          <t>Tổng mức dùng tính chi phí thẩm tra quyết toán (0,57% × TM) – tự tính</t>
        </is>
      </c>
      <c r="C8" s="93" t="n"/>
      <c r="D8" s="94" t="n"/>
      <c r="E8" s="100">
        <f>ROUND(1.05*(H20+H21+H22+H28+500000)/(1-1.05*0.57%),-6)</f>
        <v/>
      </c>
      <c r="F8" s="101">
        <f>IF($E$8=H34,"Khớp tổng làm tròn","⚠ Lệch do làm tròn: tổng = "&amp;TEXT(H34,"#,##0"))</f>
        <v/>
      </c>
      <c r="R8" s="91" t="inlineStr">
        <is>
          <t>Gxdct1 hiện tại</t>
        </is>
      </c>
      <c r="S8" s="96" t="n">
        <v>1215750394</v>
      </c>
    </row>
    <row r="9">
      <c r="R9" s="91" t="inlineStr">
        <is>
          <t>Xây lắp các trường (giữ nguyên)</t>
        </is>
      </c>
      <c r="S9" s="96" t="n">
        <v>378842471</v>
      </c>
    </row>
    <row r="10">
      <c r="A10" s="102" t="inlineStr">
        <is>
          <t>A. TỔNG DỰ TOÁN GÓI – HIỆN TẠI VÀ SAU KHI CHỐT GIÁ PCCC</t>
        </is>
      </c>
      <c r="R10" s="91" t="inlineStr">
        <is>
          <t>Đệm an toàn cho sai số làm tròn (đ)</t>
        </is>
      </c>
      <c r="S10" s="96" t="n">
        <v>300000</v>
      </c>
    </row>
    <row r="11" ht="32" customHeight="1">
      <c r="B11" s="103" t="inlineStr">
        <is>
          <t>Khoản mục chi phí</t>
        </is>
      </c>
      <c r="C11" s="103" t="inlineStr">
        <is>
          <t>Ký hiệu</t>
        </is>
      </c>
      <c r="D11" s="103" t="inlineStr">
        <is>
          <t>Cách tính</t>
        </is>
      </c>
      <c r="E11" s="103" t="inlineStr">
        <is>
          <t>Hiện tại (sau thuế)</t>
        </is>
      </c>
      <c r="F11" s="103" t="inlineStr">
        <is>
          <t>Mới – trước thuế</t>
        </is>
      </c>
      <c r="G11" s="103" t="inlineStr">
        <is>
          <t>Thuế VAT 8%</t>
        </is>
      </c>
      <c r="H11" s="103" t="inlineStr">
        <is>
          <t>MỚI – SAU THUẾ</t>
        </is>
      </c>
      <c r="I11" s="103" t="inlineStr">
        <is>
          <t>Chênh (sau thuế)</t>
        </is>
      </c>
      <c r="R11" s="91" t="inlineStr">
        <is>
          <t>Σ KL × giá vốn NC (S11) | Σ KL × NC dự toán hiện tại (T11)</t>
        </is>
      </c>
      <c r="S11" s="96">
        <f>SUMPRODUCT(N(+D62:D91),N(+F62:F91))</f>
        <v/>
      </c>
      <c r="T11" s="96">
        <f>SUMPRODUCT(N(+D62:D91),N(+Q62:Q91))</f>
        <v/>
      </c>
    </row>
    <row r="12">
      <c r="B12" s="104" t="inlineStr">
        <is>
          <t>Chi phí xây dựng phần PCCC (lắp đặt)</t>
        </is>
      </c>
      <c r="C12" s="105" t="inlineStr">
        <is>
          <t>Gxdct1</t>
        </is>
      </c>
      <c r="D12" s="104" t="inlineStr">
        <is>
          <t>Dự toán hiện tại + hệ số × chênh VT, NC</t>
        </is>
      </c>
      <c r="E12" s="106" t="n">
        <v>1313010000</v>
      </c>
      <c r="F12" s="106">
        <f>1215750394+SUM(O62:O91)</f>
        <v/>
      </c>
      <c r="G12" s="106">
        <f>F12*8%</f>
        <v/>
      </c>
      <c r="H12" s="107">
        <f>ROUND(F12+G12,-3)</f>
        <v/>
      </c>
      <c r="I12" s="106">
        <f>IF(E12="","",H12-E12)</f>
        <v/>
      </c>
      <c r="R12" s="91" t="inlineStr">
        <is>
          <t>Điểm thử</t>
        </is>
      </c>
      <c r="S12" s="91" t="inlineStr">
        <is>
          <t>m = 1</t>
        </is>
      </c>
      <c r="T12" s="91" t="inlineStr">
        <is>
          <t>m = 3</t>
        </is>
      </c>
      <c r="U12" s="91" t="inlineStr">
        <is>
          <t>m₃ (dây cung 1)</t>
        </is>
      </c>
      <c r="V12" s="91" t="inlineStr">
        <is>
          <t>m₃ + 0,01</t>
        </is>
      </c>
    </row>
    <row r="13">
      <c r="B13" s="108" t="inlineStr">
        <is>
          <t>Xây lắp Trường tiểu học Nghĩa Ninh</t>
        </is>
      </c>
      <c r="C13" s="109" t="inlineStr">
        <is>
          <t>Gxdct2</t>
        </is>
      </c>
      <c r="D13" s="108" t="inlineStr">
        <is>
          <t>Giữ nguyên</t>
        </is>
      </c>
      <c r="E13" s="110" t="n">
        <v>109257000</v>
      </c>
      <c r="F13" s="110" t="n">
        <v>101163519</v>
      </c>
      <c r="G13" s="110">
        <f>F13*8%</f>
        <v/>
      </c>
      <c r="H13" s="111">
        <f>ROUND(F13+G13,-3)</f>
        <v/>
      </c>
      <c r="I13" s="110">
        <f>IF(E13="","",H13-E13)</f>
        <v/>
      </c>
      <c r="R13" s="91" t="inlineStr">
        <is>
          <t>m</t>
        </is>
      </c>
      <c r="S13" s="112" t="n">
        <v>1</v>
      </c>
      <c r="T13" s="112" t="n">
        <v>3</v>
      </c>
      <c r="U13" s="112">
        <f>T13-T23*(T13-S13)/(T23-S23)</f>
        <v/>
      </c>
      <c r="V13" s="112">
        <f>U13+0.01</f>
        <v/>
      </c>
    </row>
    <row r="14">
      <c r="B14" s="108" t="inlineStr">
        <is>
          <t>Xây lắp Trường tiểu học số 1 Đồng Sơn</t>
        </is>
      </c>
      <c r="C14" s="109" t="inlineStr">
        <is>
          <t>Gxdct3</t>
        </is>
      </c>
      <c r="D14" s="108" t="inlineStr">
        <is>
          <t>Giữ nguyên</t>
        </is>
      </c>
      <c r="E14" s="110" t="n">
        <v>42923000</v>
      </c>
      <c r="F14" s="110" t="n">
        <v>39743608</v>
      </c>
      <c r="G14" s="110">
        <f>F14*8%</f>
        <v/>
      </c>
      <c r="H14" s="111">
        <f>ROUND(F14+G14,-3)</f>
        <v/>
      </c>
      <c r="I14" s="110">
        <f>IF(E14="","",H14-E14)</f>
        <v/>
      </c>
      <c r="R14" s="91" t="inlineStr">
        <is>
          <t>Gxdct1</t>
        </is>
      </c>
      <c r="S14" s="96">
        <f>$S$8+$E$7*(S13*$S$4-$S$6)+$E$7*(S13*$S$11-$T$11)</f>
        <v/>
      </c>
      <c r="T14" s="96">
        <f>$S$8+$E$7*(T13*$S$4-$S$6)+$E$7*(T13*$S$11-$T$11)</f>
        <v/>
      </c>
      <c r="U14" s="96">
        <f>$S$8+$E$7*(U13*$S$4-$S$6)+$E$7*(U13*$S$11-$T$11)</f>
        <v/>
      </c>
      <c r="V14" s="96">
        <f>$S$8+$E$7*(V13*$S$4-$S$6)+$E$7*(V13*$S$11-$T$11)</f>
        <v/>
      </c>
    </row>
    <row r="15">
      <c r="B15" s="108" t="inlineStr">
        <is>
          <t>Xây lắp Trường tiểu học số 2 Đồng Sơn</t>
        </is>
      </c>
      <c r="C15" s="109" t="inlineStr">
        <is>
          <t>Gxdct4</t>
        </is>
      </c>
      <c r="D15" s="108" t="inlineStr">
        <is>
          <t>Giữ nguyên</t>
        </is>
      </c>
      <c r="E15" s="110" t="n">
        <v>86464000</v>
      </c>
      <c r="F15" s="110" t="n">
        <v>80058943</v>
      </c>
      <c r="G15" s="110">
        <f>F15*8%</f>
        <v/>
      </c>
      <c r="H15" s="111">
        <f>ROUND(F15+G15,-3)</f>
        <v/>
      </c>
      <c r="I15" s="110">
        <f>IF(E15="","",H15-E15)</f>
        <v/>
      </c>
      <c r="R15" s="91" t="inlineStr">
        <is>
          <t>Gxdct</t>
        </is>
      </c>
      <c r="S15" s="96">
        <f>S14+$S$9</f>
        <v/>
      </c>
      <c r="T15" s="96">
        <f>T14+$S$9</f>
        <v/>
      </c>
      <c r="U15" s="96">
        <f>U14+$S$9</f>
        <v/>
      </c>
      <c r="V15" s="96">
        <f>V14+$S$9</f>
        <v/>
      </c>
    </row>
    <row r="16">
      <c r="B16" s="108" t="inlineStr">
        <is>
          <t>Xây lắp Trường THCS số 1 Đồng Sơn</t>
        </is>
      </c>
      <c r="C16" s="109" t="inlineStr">
        <is>
          <t>Gxdct5</t>
        </is>
      </c>
      <c r="D16" s="108" t="inlineStr">
        <is>
          <t>Giữ nguyên</t>
        </is>
      </c>
      <c r="E16" s="110" t="n">
        <v>127297000</v>
      </c>
      <c r="F16" s="110" t="n">
        <v>117867626</v>
      </c>
      <c r="G16" s="110">
        <f>F16*8%</f>
        <v/>
      </c>
      <c r="H16" s="111">
        <f>ROUND(F16+G16,-3)</f>
        <v/>
      </c>
      <c r="I16" s="110">
        <f>IF(E16="","",H16-E16)</f>
        <v/>
      </c>
      <c r="R16" s="91" t="inlineStr">
        <is>
          <t>GXD trước thuế</t>
        </is>
      </c>
      <c r="S16" s="96">
        <f>S15*1.011</f>
        <v/>
      </c>
      <c r="T16" s="96">
        <f>T15*1.011</f>
        <v/>
      </c>
      <c r="U16" s="96">
        <f>U15*1.011</f>
        <v/>
      </c>
      <c r="V16" s="96">
        <f>V15*1.011</f>
        <v/>
      </c>
    </row>
    <row r="17">
      <c r="B17" s="108" t="inlineStr">
        <is>
          <t>Xây lắp Trường THCS Bắc Nghĩa</t>
        </is>
      </c>
      <c r="C17" s="109" t="inlineStr">
        <is>
          <t>Gxdct6</t>
        </is>
      </c>
      <c r="D17" s="108" t="inlineStr">
        <is>
          <t>Giữ nguyên</t>
        </is>
      </c>
      <c r="E17" s="110" t="n">
        <v>43209000</v>
      </c>
      <c r="F17" s="110" t="n">
        <v>40008775</v>
      </c>
      <c r="G17" s="110">
        <f>F17*8%</f>
        <v/>
      </c>
      <c r="H17" s="111">
        <f>ROUND(F17+G17,-3)</f>
        <v/>
      </c>
      <c r="I17" s="110">
        <f>IF(E17="","",H17-E17)</f>
        <v/>
      </c>
      <c r="R17" s="91" t="inlineStr">
        <is>
          <t>Thiết bị trước thuế</t>
        </is>
      </c>
      <c r="S17" s="96">
        <f>S13*$S$5</f>
        <v/>
      </c>
      <c r="T17" s="96">
        <f>T13*$S$5</f>
        <v/>
      </c>
      <c r="U17" s="96">
        <f>U13*$S$5</f>
        <v/>
      </c>
      <c r="V17" s="96">
        <f>V13*$S$5</f>
        <v/>
      </c>
    </row>
    <row r="18">
      <c r="B18" s="108" t="inlineStr">
        <is>
          <t>Chi phí xây dựng của công trình</t>
        </is>
      </c>
      <c r="C18" s="109" t="inlineStr">
        <is>
          <t>Gxdct</t>
        </is>
      </c>
      <c r="D18" s="108" t="inlineStr">
        <is>
          <t>Cộng</t>
        </is>
      </c>
      <c r="E18" s="110" t="n"/>
      <c r="F18" s="110">
        <f>SUM(F12:F17)</f>
        <v/>
      </c>
      <c r="G18" s="110">
        <f>F18*8%</f>
        <v/>
      </c>
      <c r="H18" s="111">
        <f>ROUND(F18+G18,-3)</f>
        <v/>
      </c>
      <c r="I18" s="110">
        <f>IF(E18="","",H18-E18)</f>
        <v/>
      </c>
      <c r="R18" s="91" t="inlineStr">
        <is>
          <t>QLDA</t>
        </is>
      </c>
      <c r="S18" s="96">
        <f>(S16+S17)*3.446%</f>
        <v/>
      </c>
      <c r="T18" s="96">
        <f>(T16+T17)*3.446%</f>
        <v/>
      </c>
      <c r="U18" s="96">
        <f>(U16+U17)*3.446%</f>
        <v/>
      </c>
      <c r="V18" s="96">
        <f>(V16+V17)*3.446%</f>
        <v/>
      </c>
    </row>
    <row r="19">
      <c r="B19" s="108" t="inlineStr">
        <is>
          <t>Chi phí nhà tạm để ở và điều hành thi công</t>
        </is>
      </c>
      <c r="C19" s="109" t="inlineStr">
        <is>
          <t>Glt</t>
        </is>
      </c>
      <c r="D19" s="108" t="inlineStr">
        <is>
          <t>1,1% × Gxdct</t>
        </is>
      </c>
      <c r="E19" s="110" t="n"/>
      <c r="F19" s="110">
        <f>F18*1.1%</f>
        <v/>
      </c>
      <c r="G19" s="110">
        <f>F19*8%</f>
        <v/>
      </c>
      <c r="H19" s="111">
        <f>ROUND(F19+G19,-3)</f>
        <v/>
      </c>
      <c r="I19" s="110">
        <f>IF(E19="","",H19-E19)</f>
        <v/>
      </c>
      <c r="R19" s="91" t="inlineStr">
        <is>
          <t>Tư vấn (sau thuế)</t>
        </is>
      </c>
      <c r="S19" s="96">
        <f>25000000+1.08*((S15+S17)*((3-(S16+S17)/10^9)*0.9+4.7)/100+S15*0.508%)</f>
        <v/>
      </c>
      <c r="T19" s="96">
        <f>25000000+1.08*((T15+T17)*((3-(T16+T17)/10^9)*0.9+4.7)/100+T15*0.508%)</f>
        <v/>
      </c>
      <c r="U19" s="96">
        <f>25000000+1.08*((U15+U17)*((3-(U16+U17)/10^9)*0.9+4.7)/100+U15*0.508%)</f>
        <v/>
      </c>
      <c r="V19" s="96">
        <f>25000000+1.08*((V15+V17)*((3-(V16+V17)/10^9)*0.9+4.7)/100+V15*0.508%)</f>
        <v/>
      </c>
    </row>
    <row r="20">
      <c r="B20" s="92" t="inlineStr">
        <is>
          <t>I. CHI PHÍ XÂY LẮP</t>
        </is>
      </c>
      <c r="C20" s="113" t="inlineStr">
        <is>
          <t>GXD</t>
        </is>
      </c>
      <c r="D20" s="92" t="inlineStr">
        <is>
          <t>Gxdct + Glt</t>
        </is>
      </c>
      <c r="E20" s="111" t="n">
        <v>1741104000</v>
      </c>
      <c r="F20" s="111">
        <f>F18+F19</f>
        <v/>
      </c>
      <c r="G20" s="111">
        <f>F20*8%</f>
        <v/>
      </c>
      <c r="H20" s="111">
        <f>ROUND(F20+G20,-3)</f>
        <v/>
      </c>
      <c r="I20" s="111">
        <f>IF(E20="","",H20-E20)</f>
        <v/>
      </c>
      <c r="R20" s="91" t="inlineStr">
        <is>
          <t>Tổng gói (ước)</t>
        </is>
      </c>
      <c r="S20" s="96">
        <f>1.05*(1.08*S16+1.08*S17+S18+S19+500000)/(1-1.05*0.57%)</f>
        <v/>
      </c>
      <c r="T20" s="96">
        <f>1.05*(1.08*T16+1.08*T17+T18+T19+500000)/(1-1.05*0.57%)</f>
        <v/>
      </c>
      <c r="U20" s="96">
        <f>1.05*(1.08*U16+1.08*U17+U18+U19+500000)/(1-1.05*0.57%)</f>
        <v/>
      </c>
      <c r="V20" s="96">
        <f>1.05*(1.08*V16+1.08*V17+V18+V19+500000)/(1-1.05*0.57%)</f>
        <v/>
      </c>
    </row>
    <row r="21">
      <c r="B21" s="92" t="inlineStr">
        <is>
          <t>II. CHI PHÍ THIẾT BỊ</t>
        </is>
      </c>
      <c r="C21" s="113" t="inlineStr">
        <is>
          <t>Gtb</t>
        </is>
      </c>
      <c r="D21" s="92" t="inlineStr">
        <is>
          <t>Σ thiết bị × giá chốt</t>
        </is>
      </c>
      <c r="E21" s="111" t="n">
        <v>18954000</v>
      </c>
      <c r="F21" s="111">
        <f>SUMIF(L62:L91,"Thiết bị",K62:K91)</f>
        <v/>
      </c>
      <c r="G21" s="111">
        <f>F21*8%</f>
        <v/>
      </c>
      <c r="H21" s="111">
        <f>F21*1.08</f>
        <v/>
      </c>
      <c r="I21" s="111">
        <f>IF(E21="","",H21-E21)</f>
        <v/>
      </c>
      <c r="R21" s="91" t="inlineStr">
        <is>
          <t>Doanh thu PCCC</t>
        </is>
      </c>
      <c r="S21" s="96">
        <f>S14*1.011+S17</f>
        <v/>
      </c>
      <c r="T21" s="96">
        <f>T14*1.011+T17</f>
        <v/>
      </c>
      <c r="U21" s="96">
        <f>U14*1.011+U17</f>
        <v/>
      </c>
      <c r="V21" s="96">
        <f>V14*1.011+V17</f>
        <v/>
      </c>
    </row>
    <row r="22">
      <c r="B22" s="92" t="inlineStr">
        <is>
          <t>III. CHI PHÍ QUẢN LÝ DỰ ÁN</t>
        </is>
      </c>
      <c r="C22" s="113" t="inlineStr">
        <is>
          <t>QL</t>
        </is>
      </c>
      <c r="D22" s="92" t="inlineStr">
        <is>
          <t>3,446% × (GXD + Gtb)</t>
        </is>
      </c>
      <c r="E22" s="111" t="n">
        <v>56159000</v>
      </c>
      <c r="F22" s="111">
        <f>(F20+F21)*3.446%</f>
        <v/>
      </c>
      <c r="G22" s="111" t="n"/>
      <c r="H22" s="111">
        <f>ROUND(F22,-3)</f>
        <v/>
      </c>
      <c r="I22" s="111">
        <f>IF(E22="","",H22-E22)</f>
        <v/>
      </c>
      <c r="R22" s="91" t="inlineStr">
        <is>
          <t>Trích CĐT</t>
        </is>
      </c>
      <c r="S22" s="96">
        <f>$E$5*S20</f>
        <v/>
      </c>
      <c r="T22" s="96">
        <f>$E$5*T20</f>
        <v/>
      </c>
      <c r="U22" s="96">
        <f>$E$5*U20</f>
        <v/>
      </c>
      <c r="V22" s="96">
        <f>$E$5*V20</f>
        <v/>
      </c>
    </row>
    <row r="23">
      <c r="B23" s="108" t="inlineStr">
        <is>
          <t xml:space="preserve">   Chi phí đo vẽ hiện trạng</t>
        </is>
      </c>
      <c r="C23" s="109" t="inlineStr">
        <is>
          <t>TV1</t>
        </is>
      </c>
      <c r="D23" s="108" t="inlineStr">
        <is>
          <t>Giữ nguyên</t>
        </is>
      </c>
      <c r="E23" s="110" t="n">
        <v>15000000</v>
      </c>
      <c r="F23" s="110">
        <f>15000000/1.08</f>
        <v/>
      </c>
      <c r="G23" s="110">
        <f>F23*8%</f>
        <v/>
      </c>
      <c r="H23" s="111">
        <f>15000000</f>
        <v/>
      </c>
      <c r="I23" s="110">
        <f>IF(E23="","",H23-E23)</f>
        <v/>
      </c>
      <c r="R23" s="91" t="inlineStr">
        <is>
          <t>f(m) = DT − C − trích − LN tối thiểu</t>
        </is>
      </c>
      <c r="S23" s="96">
        <f>S21-$S$7-S22-$E$4*$S$7-$S$10</f>
        <v/>
      </c>
      <c r="T23" s="96">
        <f>T21-$S$7-T22-$E$4*$S$7-$S$10</f>
        <v/>
      </c>
      <c r="U23" s="96">
        <f>U21-$S$7-U22-$E$4*$S$7-$S$10</f>
        <v/>
      </c>
      <c r="V23" s="96">
        <f>V21-$S$7-V22-$E$4*$S$7-$S$10</f>
        <v/>
      </c>
    </row>
    <row r="24">
      <c r="B24" s="108" t="inlineStr">
        <is>
          <t xml:space="preserve">   Chi phí lập báo cáo KTKT (nội suy theo quy mô)</t>
        </is>
      </c>
      <c r="C24" s="109" t="inlineStr">
        <is>
          <t>TV2</t>
        </is>
      </c>
      <c r="D24" s="108" t="inlineStr">
        <is>
          <t>(Gxdct + Gtb) × tỷ lệ nội suy</t>
        </is>
      </c>
      <c r="E24" s="110" t="n"/>
      <c r="F24" s="110">
        <f>(F18+F21)*(((3-(F20+F21)/10^9)*(6.5-4.7)/(3-1)+4.7)/100)</f>
        <v/>
      </c>
      <c r="G24" s="110">
        <f>F24*8%</f>
        <v/>
      </c>
      <c r="H24" s="111">
        <f>ROUND(F24+G24,-3)</f>
        <v/>
      </c>
      <c r="I24" s="110">
        <f>IF(E24="","",H24-E24)</f>
        <v/>
      </c>
    </row>
    <row r="25">
      <c r="B25" s="108" t="inlineStr">
        <is>
          <t xml:space="preserve">   Chi phí thẩm tra thiết kế BVTC</t>
        </is>
      </c>
      <c r="C25" s="109" t="inlineStr">
        <is>
          <t>TV3</t>
        </is>
      </c>
      <c r="D25" s="108" t="inlineStr">
        <is>
          <t>0,258% × Gxdct</t>
        </is>
      </c>
      <c r="E25" s="110" t="n"/>
      <c r="F25" s="110">
        <f>F18*0.258%</f>
        <v/>
      </c>
      <c r="G25" s="110">
        <f>F25*8%</f>
        <v/>
      </c>
      <c r="H25" s="111">
        <f>ROUND(F25+G25,-3)</f>
        <v/>
      </c>
      <c r="I25" s="110">
        <f>IF(E25="","",H25-E25)</f>
        <v/>
      </c>
    </row>
    <row r="26">
      <c r="B26" s="108" t="inlineStr">
        <is>
          <t xml:space="preserve">   Chi phí thẩm tra dự toán</t>
        </is>
      </c>
      <c r="C26" s="109" t="inlineStr">
        <is>
          <t>TV4</t>
        </is>
      </c>
      <c r="D26" s="108" t="inlineStr">
        <is>
          <t>0,25% × Gxdct</t>
        </is>
      </c>
      <c r="E26" s="110" t="n"/>
      <c r="F26" s="110">
        <f>F18*0.25%</f>
        <v/>
      </c>
      <c r="G26" s="110">
        <f>F26*8%</f>
        <v/>
      </c>
      <c r="H26" s="111">
        <f>ROUND(F26+G26,-3)</f>
        <v/>
      </c>
      <c r="I26" s="110">
        <f>IF(E26="","",H26-E26)</f>
        <v/>
      </c>
    </row>
    <row r="27">
      <c r="B27" s="108" t="inlineStr">
        <is>
          <t xml:space="preserve">   Chi phí thẩm định giá</t>
        </is>
      </c>
      <c r="C27" s="109" t="inlineStr">
        <is>
          <t>TV5</t>
        </is>
      </c>
      <c r="D27" s="108" t="inlineStr">
        <is>
          <t>Giữ nguyên</t>
        </is>
      </c>
      <c r="E27" s="110" t="n">
        <v>10000000</v>
      </c>
      <c r="F27" s="110">
        <f>10000000/1.08</f>
        <v/>
      </c>
      <c r="G27" s="110">
        <f>F27*8%</f>
        <v/>
      </c>
      <c r="H27" s="111">
        <f>10000000</f>
        <v/>
      </c>
      <c r="I27" s="110">
        <f>IF(E27="","",H27-E27)</f>
        <v/>
      </c>
      <c r="R27" s="91" t="inlineStr">
        <is>
          <t>Hệ số tối thiểu (dây cung lần 2)</t>
        </is>
      </c>
      <c r="W27" s="114">
        <f>U13-U23*(V13-U13)/(V23-U23)</f>
        <v/>
      </c>
    </row>
    <row r="28">
      <c r="B28" s="92" t="inlineStr">
        <is>
          <t>IV. CHI PHÍ TƯ VẤN</t>
        </is>
      </c>
      <c r="C28" s="113" t="inlineStr">
        <is>
          <t>GTV</t>
        </is>
      </c>
      <c r="D28" s="92" t="inlineStr">
        <is>
          <t>Cộng TV1–TV5</t>
        </is>
      </c>
      <c r="E28" s="111" t="n">
        <v>137053000</v>
      </c>
      <c r="F28" s="111" t="n"/>
      <c r="G28" s="111" t="n"/>
      <c r="H28" s="111">
        <f>ROUND(SUM(H23:H27),-3)</f>
        <v/>
      </c>
      <c r="I28" s="111">
        <f>IF(E28="","",H28-E28)</f>
        <v/>
      </c>
    </row>
    <row r="29">
      <c r="B29" s="108" t="inlineStr">
        <is>
          <t xml:space="preserve">   Chi phí thẩm tra phê duyệt quyết toán</t>
        </is>
      </c>
      <c r="C29" s="109" t="inlineStr">
        <is>
          <t>CK1</t>
        </is>
      </c>
      <c r="D29" s="108" t="inlineStr">
        <is>
          <t>0,57% × TM (ô E8)</t>
        </is>
      </c>
      <c r="E29" s="110" t="n"/>
      <c r="F29" s="110">
        <f>0.57%*$E$8</f>
        <v/>
      </c>
      <c r="G29" s="110" t="n"/>
      <c r="H29" s="111">
        <f>ROUND(F29,-3)</f>
        <v/>
      </c>
      <c r="I29" s="110">
        <f>IF(E29="","",H29-E29)</f>
        <v/>
      </c>
    </row>
    <row r="30">
      <c r="B30" s="108" t="inlineStr">
        <is>
          <t xml:space="preserve">   Phí thẩm định báo cáo KTKT</t>
        </is>
      </c>
      <c r="C30" s="109" t="inlineStr">
        <is>
          <t>CK2</t>
        </is>
      </c>
      <c r="D30" s="108" t="inlineStr">
        <is>
          <t>Giữ nguyên</t>
        </is>
      </c>
      <c r="E30" s="110" t="n">
        <v>500000</v>
      </c>
      <c r="F30" s="110" t="n">
        <v>500000</v>
      </c>
      <c r="G30" s="110" t="n"/>
      <c r="H30" s="111">
        <f>ROUND(F30,-3)</f>
        <v/>
      </c>
      <c r="I30" s="110">
        <f>IF(E30="","",H30-E30)</f>
        <v/>
      </c>
    </row>
    <row r="31">
      <c r="B31" s="92" t="inlineStr">
        <is>
          <t>V. CHI PHÍ KHÁC</t>
        </is>
      </c>
      <c r="C31" s="113" t="inlineStr">
        <is>
          <t>GK</t>
        </is>
      </c>
      <c r="D31" s="92" t="inlineStr">
        <is>
          <t>CK1 + CK2</t>
        </is>
      </c>
      <c r="E31" s="111" t="n">
        <v>12265000</v>
      </c>
      <c r="F31" s="111" t="n"/>
      <c r="G31" s="111" t="n"/>
      <c r="H31" s="111">
        <f>ROUND(H29+H30,-3)</f>
        <v/>
      </c>
      <c r="I31" s="111">
        <f>IF(E31="","",H31-E31)</f>
        <v/>
      </c>
    </row>
    <row r="32">
      <c r="B32" s="92" t="inlineStr">
        <is>
          <t>VI. CHI PHÍ DỰ PHÒNG</t>
        </is>
      </c>
      <c r="C32" s="113" t="inlineStr">
        <is>
          <t>GDP</t>
        </is>
      </c>
      <c r="D32" s="92" t="inlineStr">
        <is>
          <t>5% × (GXD + Gtb + QL + GTV + GK)</t>
        </is>
      </c>
      <c r="E32" s="111" t="n">
        <v>98277000</v>
      </c>
      <c r="F32" s="111" t="n"/>
      <c r="G32" s="111" t="n"/>
      <c r="H32" s="111">
        <f>ROUND(5%*(H20+H21+H22+H28+H31),-3)</f>
        <v/>
      </c>
      <c r="I32" s="111">
        <f>IF(E32="","",H32-E32)</f>
        <v/>
      </c>
    </row>
    <row r="33">
      <c r="B33" s="115" t="inlineStr">
        <is>
          <t>TỔNG DỰ TOÁN GÓI</t>
        </is>
      </c>
      <c r="C33" s="116" t="inlineStr">
        <is>
          <t>VTM</t>
        </is>
      </c>
      <c r="D33" s="115" t="inlineStr">
        <is>
          <t>I + … + VI</t>
        </is>
      </c>
      <c r="E33" s="117" t="n">
        <v>2063812000</v>
      </c>
      <c r="F33" s="117" t="n"/>
      <c r="G33" s="117" t="n"/>
      <c r="H33" s="117">
        <f>ROUND(H20+H21+H22+H28+H31+H32,-3)</f>
        <v/>
      </c>
      <c r="I33" s="117">
        <f>IF(E33="","",H33-E33)</f>
        <v/>
      </c>
    </row>
    <row r="34">
      <c r="B34" s="118" t="inlineStr">
        <is>
          <t>TỔNG DỰ TOÁN GÓI – LÀM TRÒN (báo chủ đầu tư)</t>
        </is>
      </c>
      <c r="C34" s="119" t="inlineStr"/>
      <c r="D34" s="118" t="inlineStr">
        <is>
          <t>Làm tròn triệu</t>
        </is>
      </c>
      <c r="E34" s="107" t="n">
        <v>2064000000</v>
      </c>
      <c r="F34" s="107" t="n"/>
      <c r="G34" s="107" t="n"/>
      <c r="H34" s="107">
        <f>ROUND(H33,-6)</f>
        <v/>
      </c>
      <c r="I34" s="107">
        <f>IF(E34="","",H34-E34)</f>
        <v/>
      </c>
    </row>
    <row r="36">
      <c r="A36" s="102" t="inlineStr">
        <is>
          <t>B. LỢI NHUẬN PHẦN PCCC (trước thuế)</t>
        </is>
      </c>
    </row>
    <row r="37">
      <c r="B37" s="103" t="inlineStr">
        <is>
          <t>Khoản</t>
        </is>
      </c>
      <c r="C37" s="93" t="n"/>
      <c r="D37" s="94" t="n"/>
      <c r="E37" s="103" t="inlineStr">
        <is>
          <t>Hiện tại</t>
        </is>
      </c>
      <c r="F37" s="103" t="inlineStr">
        <is>
          <t>SAU KHI CHỐT GIÁ</t>
        </is>
      </c>
      <c r="G37" s="103" t="inlineStr">
        <is>
          <t>Ghi chú</t>
        </is>
      </c>
      <c r="H37" s="93" t="n"/>
      <c r="I37" s="93" t="n"/>
      <c r="J37" s="93" t="n"/>
      <c r="K37" s="94" t="n"/>
    </row>
    <row r="38">
      <c r="B38" s="108" t="inlineStr">
        <is>
          <t>Doanh thu lắp đặt PCCC (Gxdct1)</t>
        </is>
      </c>
      <c r="C38" s="120" t="n"/>
      <c r="D38" s="120" t="n"/>
      <c r="E38" s="110" t="n">
        <v>1215750394</v>
      </c>
      <c r="F38" s="110">
        <f>F12</f>
        <v/>
      </c>
      <c r="G38" s="121" t="n"/>
      <c r="H38" s="120" t="n"/>
      <c r="I38" s="120" t="n"/>
      <c r="J38" s="120" t="n"/>
      <c r="K38" s="120" t="n"/>
    </row>
    <row r="39">
      <c r="B39" s="108" t="inlineStr">
        <is>
          <t>Nhà tạm phần PCCC (1,1% × Gxdct1)</t>
        </is>
      </c>
      <c r="C39" s="120" t="n"/>
      <c r="D39" s="120" t="n"/>
      <c r="E39" s="110">
        <f>E38*1.1%</f>
        <v/>
      </c>
      <c r="F39" s="110">
        <f>F38*1.1%</f>
        <v/>
      </c>
      <c r="G39" s="121" t="n"/>
      <c r="H39" s="120" t="n"/>
      <c r="I39" s="120" t="n"/>
      <c r="J39" s="120" t="n"/>
      <c r="K39" s="120" t="n"/>
    </row>
    <row r="40">
      <c r="B40" s="108" t="inlineStr">
        <is>
          <t>Thiết bị (trước thuế)</t>
        </is>
      </c>
      <c r="C40" s="120" t="n"/>
      <c r="D40" s="120" t="n"/>
      <c r="E40" s="110" t="n">
        <v>17550000</v>
      </c>
      <c r="F40" s="110">
        <f>F21</f>
        <v/>
      </c>
      <c r="G40" s="121" t="n"/>
      <c r="H40" s="120" t="n"/>
      <c r="I40" s="120" t="n"/>
      <c r="J40" s="120" t="n"/>
      <c r="K40" s="120" t="n"/>
    </row>
    <row r="41">
      <c r="B41" s="92" t="inlineStr">
        <is>
          <t>Cộng doanh thu PCCC</t>
        </is>
      </c>
      <c r="C41" s="122" t="n"/>
      <c r="D41" s="122" t="n"/>
      <c r="E41" s="111">
        <f>SUM(E38:E40)</f>
        <v/>
      </c>
      <c r="F41" s="111">
        <f>SUM(F38:F40)</f>
        <v/>
      </c>
      <c r="G41" s="121" t="n"/>
      <c r="H41" s="122" t="n"/>
      <c r="I41" s="122" t="n"/>
      <c r="J41" s="122" t="n"/>
      <c r="K41" s="122" t="n"/>
    </row>
    <row r="42">
      <c r="B42" s="108" t="inlineStr">
        <is>
          <t>Giá vốn – các mục trong báo giá</t>
        </is>
      </c>
      <c r="C42" s="120" t="n"/>
      <c r="D42" s="120" t="n"/>
      <c r="E42" s="110">
        <f>J92</f>
        <v/>
      </c>
      <c r="F42" s="110">
        <f>J92</f>
        <v/>
      </c>
      <c r="G42" s="121" t="inlineStr">
        <is>
          <t>Bảng C: khối lượng dự toán × giá vốn</t>
        </is>
      </c>
      <c r="H42" s="120" t="n"/>
      <c r="I42" s="120" t="n"/>
      <c r="J42" s="120" t="n"/>
      <c r="K42" s="120" t="n"/>
    </row>
    <row r="43">
      <c r="B43" s="108" t="inlineStr">
        <is>
          <t>Giá vốn – ngoài báo giá (ống, cáp, van, vật tư phụ 5%…)</t>
        </is>
      </c>
      <c r="C43" s="120" t="n"/>
      <c r="D43" s="120" t="n"/>
      <c r="E43" s="110">
        <f>G111</f>
        <v/>
      </c>
      <c r="F43" s="110">
        <f>G111</f>
        <v/>
      </c>
      <c r="G43" s="121" t="inlineStr">
        <is>
          <t>Bảng D: theo sheet Gia von chi tiet</t>
        </is>
      </c>
      <c r="H43" s="120" t="n"/>
      <c r="I43" s="120" t="n"/>
      <c r="J43" s="120" t="n"/>
      <c r="K43" s="120" t="n"/>
    </row>
    <row r="44">
      <c r="B44" s="92" t="inlineStr">
        <is>
          <t>Cộng giá vốn PCCC</t>
        </is>
      </c>
      <c r="C44" s="122" t="n"/>
      <c r="D44" s="122" t="n"/>
      <c r="E44" s="111">
        <f>E42+E43</f>
        <v/>
      </c>
      <c r="F44" s="111">
        <f>F42+F43</f>
        <v/>
      </c>
      <c r="G44" s="121" t="n"/>
      <c r="H44" s="122" t="n"/>
      <c r="I44" s="122" t="n"/>
      <c r="J44" s="122" t="n"/>
      <c r="K44" s="122" t="n"/>
    </row>
    <row r="45">
      <c r="B45" s="104" t="inlineStr">
        <is>
          <t>Trích lại chủ đầu tư (15% × tổng dự toán làm tròn)</t>
        </is>
      </c>
      <c r="C45" s="123" t="n"/>
      <c r="D45" s="123" t="n"/>
      <c r="E45" s="106">
        <f>$E$5*E34</f>
        <v/>
      </c>
      <c r="F45" s="106">
        <f>$E$5*H34</f>
        <v/>
      </c>
      <c r="G45" s="124" t="inlineStr">
        <is>
          <t>Trừ vào doanh thu trước thuế (VAT phải nộp nhà nước)</t>
        </is>
      </c>
      <c r="H45" s="123" t="n"/>
      <c r="I45" s="123" t="n"/>
      <c r="J45" s="123" t="n"/>
      <c r="K45" s="123" t="n"/>
    </row>
    <row r="46">
      <c r="B46" s="115" t="inlineStr">
        <is>
          <t>LỢI NHUẬN PCCC</t>
        </is>
      </c>
      <c r="C46" s="125" t="n"/>
      <c r="D46" s="125" t="n"/>
      <c r="E46" s="117">
        <f>E41-E44-E45</f>
        <v/>
      </c>
      <c r="F46" s="117">
        <f>F41-F44-F45</f>
        <v/>
      </c>
      <c r="G46" s="126" t="n"/>
      <c r="H46" s="125" t="n"/>
      <c r="I46" s="125" t="n"/>
      <c r="J46" s="125" t="n"/>
      <c r="K46" s="125" t="n"/>
    </row>
    <row r="47">
      <c r="B47" s="115" t="inlineStr">
        <is>
          <t>% lợi nhuận / giá vốn PCCC</t>
        </is>
      </c>
      <c r="C47" s="125" t="n"/>
      <c r="D47" s="125" t="n"/>
      <c r="E47" s="127">
        <f>E46/E44</f>
        <v/>
      </c>
      <c r="F47" s="127">
        <f>F46/F44</f>
        <v/>
      </c>
      <c r="G47" s="126" t="n"/>
      <c r="H47" s="125" t="n"/>
      <c r="I47" s="125" t="n"/>
      <c r="J47" s="125" t="n"/>
      <c r="K47" s="125" t="n"/>
    </row>
    <row r="48">
      <c r="B48" s="92" t="inlineStr">
        <is>
          <t>Đánh giá so với mức tối thiểu (ô E4)</t>
        </is>
      </c>
      <c r="C48" s="122" t="n"/>
      <c r="D48" s="122" t="n"/>
      <c r="E48" s="122">
        <f>IF(E47&gt;=$E$4,"ĐẠT","KHÔNG ĐẠT")</f>
        <v/>
      </c>
      <c r="F48" s="122">
        <f>IF(F47&gt;=$E$4,"ĐẠT","KHÔNG ĐẠT")</f>
        <v/>
      </c>
      <c r="G48" s="121" t="n"/>
      <c r="H48" s="122" t="n"/>
      <c r="I48" s="122" t="n"/>
      <c r="J48" s="122" t="n"/>
      <c r="K48" s="122" t="n"/>
    </row>
    <row r="50">
      <c r="B50" s="108" t="inlineStr">
        <is>
          <t>Tham khảo – doanh thu xây dựng (xây lắp + nhà tạm, trước thuế)</t>
        </is>
      </c>
      <c r="C50" s="120" t="n"/>
      <c r="D50" s="120" t="n"/>
      <c r="E50" s="110">
        <f>378842471*1.011</f>
        <v/>
      </c>
      <c r="F50" s="110">
        <f>378842471*1.011</f>
        <v/>
      </c>
      <c r="G50" s="121" t="inlineStr">
        <is>
          <t>Giữ nguyên đơn giá dự toán</t>
        </is>
      </c>
      <c r="H50" s="120" t="n"/>
      <c r="I50" s="120" t="n"/>
      <c r="J50" s="120" t="n"/>
      <c r="K50" s="120" t="n"/>
    </row>
    <row r="51">
      <c r="B51" s="108" t="inlineStr">
        <is>
          <t>Tham khảo – giá vốn xây dựng</t>
        </is>
      </c>
      <c r="C51" s="120" t="n"/>
      <c r="D51" s="120" t="n"/>
      <c r="E51" s="110" t="n">
        <v>110800000</v>
      </c>
      <c r="F51" s="110" t="n">
        <v>110800000</v>
      </c>
      <c r="G51" s="121" t="inlineStr">
        <is>
          <t>Sheet Gia von chi tiet (khối lượng tiên lượng)</t>
        </is>
      </c>
      <c r="H51" s="120" t="n"/>
      <c r="I51" s="120" t="n"/>
      <c r="J51" s="120" t="n"/>
      <c r="K51" s="120" t="n"/>
    </row>
    <row r="52">
      <c r="B52" s="92" t="inlineStr">
        <is>
          <t>Tham khảo – lợi nhuận xây dựng (không dùng bù cho PCCC)</t>
        </is>
      </c>
      <c r="C52" s="122" t="n"/>
      <c r="D52" s="122" t="n"/>
      <c r="E52" s="111">
        <f>E50-E51</f>
        <v/>
      </c>
      <c r="F52" s="111">
        <f>F50-F51</f>
        <v/>
      </c>
      <c r="G52" s="121" t="n"/>
      <c r="H52" s="122" t="n"/>
      <c r="I52" s="122" t="n"/>
      <c r="J52" s="122" t="n"/>
      <c r="K52" s="122" t="n"/>
    </row>
    <row r="60">
      <c r="A60" s="102" t="inlineStr">
        <is>
          <t>C. CHI TIẾT HẠNG MỤC TRONG BÁO GIÁ</t>
        </is>
      </c>
    </row>
    <row r="61" ht="48" customHeight="1">
      <c r="A61" s="103" t="inlineStr">
        <is>
          <t>STT</t>
        </is>
      </c>
      <c r="B61" s="103" t="inlineStr">
        <is>
          <t>Hạng mục</t>
        </is>
      </c>
      <c r="C61" s="103" t="inlineStr">
        <is>
          <t>ĐVT</t>
        </is>
      </c>
      <c r="D61" s="103" t="inlineStr">
        <is>
          <t>Khối lượng</t>
        </is>
      </c>
      <c r="E61" s="103" t="inlineStr">
        <is>
          <t>Giá vốn vật tư (từ sheet Bao gia)</t>
        </is>
      </c>
      <c r="F61" s="103" t="inlineStr">
        <is>
          <t>Giá vốn nhân công (từ sheet Bao gia)</t>
        </is>
      </c>
      <c r="G61" s="103" t="inlineStr">
        <is>
          <t>Giá VT dự toán hiện tại</t>
        </is>
      </c>
      <c r="H61" s="103" t="inlineStr">
        <is>
          <t>GIÁ VT ĐỀ XUẤT (CHỐT)</t>
        </is>
      </c>
      <c r="I61" s="103" t="inlineStr">
        <is>
          <t>GIÁ NC ĐỀ XUẤT</t>
        </is>
      </c>
      <c r="J61" s="103" t="inlineStr">
        <is>
          <t>Thành tiền giá vốn</t>
        </is>
      </c>
      <c r="K61" s="103" t="inlineStr">
        <is>
          <t>Thành tiền VT đề xuất</t>
        </is>
      </c>
      <c r="L61" s="103" t="inlineStr">
        <is>
          <t>Phần</t>
        </is>
      </c>
      <c r="M61" s="103" t="inlineStr">
        <is>
          <t>SL quy đổi (gồm VL khác)</t>
        </is>
      </c>
      <c r="N61" s="103" t="inlineStr">
        <is>
          <t>VL dự toán hiện tại (thành tiền)</t>
        </is>
      </c>
      <c r="O61" s="103" t="inlineStr">
        <is>
          <t>Tăng/giảm giá trị XD trước thuế</t>
        </is>
      </c>
      <c r="P61" s="103" t="inlineStr">
        <is>
          <t>Ghi chú</t>
        </is>
      </c>
      <c r="Q61" s="103" t="inlineStr">
        <is>
          <t>NC dự toán hiện tại (định mức)</t>
        </is>
      </c>
    </row>
    <row r="62">
      <c r="A62" s="109" t="n">
        <v>1</v>
      </c>
      <c r="B62" s="108" t="inlineStr">
        <is>
          <t>Trung tâm báo cháy 10 kênh bao gồm Acquy</t>
        </is>
      </c>
      <c r="C62" s="109" t="inlineStr">
        <is>
          <t>cái</t>
        </is>
      </c>
      <c r="D62" s="128" t="n">
        <v>2</v>
      </c>
      <c r="E62" s="110">
        <f>'Bao gia'!J4</f>
        <v/>
      </c>
      <c r="F62" s="110">
        <f>'Bao gia'!K4</f>
        <v/>
      </c>
      <c r="G62" s="110">
        <f>IF(M62=0,"",N62/M62)</f>
        <v/>
      </c>
      <c r="H62" s="107">
        <f>ROUNDUP(E62*$E$6,-3)</f>
        <v/>
      </c>
      <c r="I62" s="107">
        <f>ROUNDUP(F62*$E$6,-3)</f>
        <v/>
      </c>
      <c r="J62" s="110">
        <f>D62*(E62+F62)</f>
        <v/>
      </c>
      <c r="K62" s="110">
        <f>D62*H62</f>
        <v/>
      </c>
      <c r="L62" s="109" t="inlineStr">
        <is>
          <t>Lắp đặt</t>
        </is>
      </c>
      <c r="M62" s="129" t="n">
        <v>2.1</v>
      </c>
      <c r="N62" s="110" t="n">
        <v>17850000</v>
      </c>
      <c r="O62" s="110">
        <f>$E$7*D62*(I62-Q62)+IF(L62="Thiết bị",0,$E$7*(M62*H62-N62))</f>
        <v/>
      </c>
      <c r="P62" s="108" t="n"/>
      <c r="Q62" s="110" t="n">
        <v>828880</v>
      </c>
    </row>
    <row r="63">
      <c r="A63" s="109" t="n">
        <v>2</v>
      </c>
      <c r="B63" s="108" t="inlineStr">
        <is>
          <t>Còi đèn báo cháy kết hợp</t>
        </is>
      </c>
      <c r="C63" s="109" t="inlineStr">
        <is>
          <t>cái</t>
        </is>
      </c>
      <c r="D63" s="128" t="n">
        <v>21</v>
      </c>
      <c r="E63" s="110">
        <f>'Bao gia'!J5</f>
        <v/>
      </c>
      <c r="F63" s="110">
        <f>'Bao gia'!K5</f>
        <v/>
      </c>
      <c r="G63" s="110">
        <f>IF(M63=0,"",N63/M63)</f>
        <v/>
      </c>
      <c r="H63" s="107">
        <f>ROUNDUP(E63*$E$6,-3)</f>
        <v/>
      </c>
      <c r="I63" s="107">
        <f>ROUNDUP(F63*$E$6,-3)</f>
        <v/>
      </c>
      <c r="J63" s="110">
        <f>D63*(E63+F63)</f>
        <v/>
      </c>
      <c r="K63" s="110">
        <f>D63*H63</f>
        <v/>
      </c>
      <c r="L63" s="109" t="inlineStr">
        <is>
          <t>Lắp đặt</t>
        </is>
      </c>
      <c r="M63" s="129" t="n">
        <v>21.42</v>
      </c>
      <c r="N63" s="110" t="n">
        <v>5355000</v>
      </c>
      <c r="O63" s="110">
        <f>$E$7*D63*(I63-Q63)+IF(L63="Thiết bị",0,$E$7*(M63*H63-N63))</f>
        <v/>
      </c>
      <c r="P63" s="108" t="n"/>
      <c r="Q63" s="110" t="n">
        <v>74280</v>
      </c>
    </row>
    <row r="64">
      <c r="A64" s="109" t="n">
        <v>3</v>
      </c>
      <c r="B64" s="108" t="inlineStr">
        <is>
          <t>Nút ấn khẩn tròn lắp nổi</t>
        </is>
      </c>
      <c r="C64" s="109" t="inlineStr">
        <is>
          <t>cái</t>
        </is>
      </c>
      <c r="D64" s="128" t="n">
        <v>21</v>
      </c>
      <c r="E64" s="110">
        <f>'Bao gia'!J6</f>
        <v/>
      </c>
      <c r="F64" s="110">
        <f>'Bao gia'!K6</f>
        <v/>
      </c>
      <c r="G64" s="110">
        <f>IF(M64=0,"",N64/M64)</f>
        <v/>
      </c>
      <c r="H64" s="107">
        <f>ROUNDUP(E64*$E$6,-3)</f>
        <v/>
      </c>
      <c r="I64" s="107">
        <f>ROUNDUP(F64*$E$6,-3)</f>
        <v/>
      </c>
      <c r="J64" s="110">
        <f>D64*(E64+F64)</f>
        <v/>
      </c>
      <c r="K64" s="110">
        <f>D64*H64</f>
        <v/>
      </c>
      <c r="L64" s="109" t="inlineStr">
        <is>
          <t>Lắp đặt</t>
        </is>
      </c>
      <c r="M64" s="129" t="n">
        <v>21.42</v>
      </c>
      <c r="N64" s="110" t="n">
        <v>4284000</v>
      </c>
      <c r="O64" s="110">
        <f>$E$7*D64*(I64-Q64)+IF(L64="Thiết bị",0,$E$7*(M64*H64-N64))</f>
        <v/>
      </c>
      <c r="P64" s="108" t="n"/>
      <c r="Q64" s="110" t="n">
        <v>191280</v>
      </c>
    </row>
    <row r="65">
      <c r="A65" s="109" t="n">
        <v>4</v>
      </c>
      <c r="B65" s="108" t="inlineStr">
        <is>
          <t>Đầu báo khói quang 24VDC</t>
        </is>
      </c>
      <c r="C65" s="109" t="inlineStr">
        <is>
          <t>cái</t>
        </is>
      </c>
      <c r="D65" s="128" t="n">
        <v>287</v>
      </c>
      <c r="E65" s="110">
        <f>'Bao gia'!J7</f>
        <v/>
      </c>
      <c r="F65" s="110">
        <f>'Bao gia'!K7</f>
        <v/>
      </c>
      <c r="G65" s="110">
        <f>IF(M65=0,"",N65/M65)</f>
        <v/>
      </c>
      <c r="H65" s="107">
        <f>ROUNDUP(E65*$E$6,-3)</f>
        <v/>
      </c>
      <c r="I65" s="107">
        <f>ROUNDUP(F65*$E$6,-3)</f>
        <v/>
      </c>
      <c r="J65" s="110">
        <f>D65*(E65+F65)</f>
        <v/>
      </c>
      <c r="K65" s="110">
        <f>D65*H65</f>
        <v/>
      </c>
      <c r="L65" s="109" t="inlineStr">
        <is>
          <t>Lắp đặt</t>
        </is>
      </c>
      <c r="M65" s="129" t="n">
        <v>292.74</v>
      </c>
      <c r="N65" s="110" t="n">
        <v>73185000</v>
      </c>
      <c r="O65" s="110">
        <f>$E$7*D65*(I65-Q65)+IF(L65="Thiết bị",0,$E$7*(M65*H65-N65))</f>
        <v/>
      </c>
      <c r="P65" s="108" t="n"/>
      <c r="Q65" s="110" t="n">
        <v>55471</v>
      </c>
    </row>
    <row r="66">
      <c r="A66" s="109" t="n">
        <v>5</v>
      </c>
      <c r="B66" s="108" t="inlineStr">
        <is>
          <t>Đèn báo phòng</t>
        </is>
      </c>
      <c r="C66" s="109" t="inlineStr">
        <is>
          <t>cái</t>
        </is>
      </c>
      <c r="D66" s="128" t="n">
        <v>70</v>
      </c>
      <c r="E66" s="110">
        <f>'Bao gia'!J8</f>
        <v/>
      </c>
      <c r="F66" s="110">
        <f>'Bao gia'!K8</f>
        <v/>
      </c>
      <c r="G66" s="110">
        <f>IF(M66=0,"",N66/M66)</f>
        <v/>
      </c>
      <c r="H66" s="107">
        <f>ROUNDUP(E66*$E$6,-3)</f>
        <v/>
      </c>
      <c r="I66" s="107">
        <f>ROUNDUP(F66*$E$6,-3)</f>
        <v/>
      </c>
      <c r="J66" s="110">
        <f>D66*(E66+F66)</f>
        <v/>
      </c>
      <c r="K66" s="110">
        <f>D66*H66</f>
        <v/>
      </c>
      <c r="L66" s="109" t="inlineStr">
        <is>
          <t>Lắp đặt</t>
        </is>
      </c>
      <c r="M66" s="129" t="n">
        <v>71.40000000000001</v>
      </c>
      <c r="N66" s="110" t="n">
        <v>3570000</v>
      </c>
      <c r="O66" s="110">
        <f>$E$7*D66*(I66-Q66)+IF(L66="Thiết bị",0,$E$7*(M66*H66-N66))</f>
        <v/>
      </c>
      <c r="P66" s="108" t="n"/>
      <c r="Q66" s="110" t="n">
        <v>74280</v>
      </c>
    </row>
    <row r="67">
      <c r="A67" s="109" t="n">
        <v>6</v>
      </c>
      <c r="B67" s="108" t="inlineStr">
        <is>
          <t>Cọc tiếp địa mạ đồng D16 L=2,4m</t>
        </is>
      </c>
      <c r="C67" s="109" t="inlineStr">
        <is>
          <t>cái</t>
        </is>
      </c>
      <c r="D67" s="128" t="n">
        <v>2</v>
      </c>
      <c r="E67" s="110">
        <f>'Bao gia'!J9</f>
        <v/>
      </c>
      <c r="F67" s="110">
        <f>'Bao gia'!K9</f>
        <v/>
      </c>
      <c r="G67" s="110">
        <f>IF(M67=0,"",N67/M67)</f>
        <v/>
      </c>
      <c r="H67" s="107">
        <f>ROUNDUP(E67*$E$6,-3)</f>
        <v/>
      </c>
      <c r="I67" s="107">
        <f>ROUNDUP(F67*$E$6,-3)</f>
        <v/>
      </c>
      <c r="J67" s="110">
        <f>D67*(E67+F67)</f>
        <v/>
      </c>
      <c r="K67" s="110">
        <f>D67*H67</f>
        <v/>
      </c>
      <c r="L67" s="109" t="inlineStr">
        <is>
          <t>Lắp đặt</t>
        </is>
      </c>
      <c r="M67" s="129" t="n">
        <v>2.02</v>
      </c>
      <c r="N67" s="110" t="n">
        <v>565600</v>
      </c>
      <c r="O67" s="110">
        <f>$E$7*D67*(I67-Q67)+IF(L67="Thiết bị",0,$E$7*(M67*H67-N67))</f>
        <v/>
      </c>
      <c r="P67" s="108" t="n"/>
      <c r="Q67" s="110" t="n">
        <v>100928</v>
      </c>
    </row>
    <row r="68">
      <c r="A68" s="109" t="n">
        <v>7</v>
      </c>
      <c r="B68" s="108" t="inlineStr">
        <is>
          <t>Co thép đen hàn DN65</t>
        </is>
      </c>
      <c r="C68" s="109" t="inlineStr">
        <is>
          <t>cái</t>
        </is>
      </c>
      <c r="D68" s="128" t="n">
        <v>56</v>
      </c>
      <c r="E68" s="110">
        <f>'Bao gia'!J10</f>
        <v/>
      </c>
      <c r="F68" s="110">
        <f>'Bao gia'!K10</f>
        <v/>
      </c>
      <c r="G68" s="110">
        <f>IF(M68=0,"",N68/M68)</f>
        <v/>
      </c>
      <c r="H68" s="107">
        <f>ROUNDUP(E68*$E$6,-3)</f>
        <v/>
      </c>
      <c r="I68" s="107">
        <f>ROUNDUP(F68*$E$6,-3)</f>
        <v/>
      </c>
      <c r="J68" s="110">
        <f>D68*(E68+F68)</f>
        <v/>
      </c>
      <c r="K68" s="110">
        <f>D68*H68</f>
        <v/>
      </c>
      <c r="L68" s="109" t="inlineStr">
        <is>
          <t>Lắp đặt</t>
        </is>
      </c>
      <c r="M68" s="129" t="n">
        <v>56.0056</v>
      </c>
      <c r="N68" s="110" t="n">
        <v>3640364</v>
      </c>
      <c r="O68" s="110">
        <f>$E$7*D68*(I68-Q68)+IF(L68="Thiết bị",0,$E$7*(M68*H68-N68))</f>
        <v/>
      </c>
      <c r="P68" s="108" t="n"/>
      <c r="Q68" s="110" t="n">
        <v>75696</v>
      </c>
    </row>
    <row r="69">
      <c r="A69" s="109" t="n">
        <v>8</v>
      </c>
      <c r="B69" s="108" t="inlineStr">
        <is>
          <t>Co thép đen hàn DN50</t>
        </is>
      </c>
      <c r="C69" s="109" t="inlineStr">
        <is>
          <t>cái</t>
        </is>
      </c>
      <c r="D69" s="128" t="n">
        <v>265</v>
      </c>
      <c r="E69" s="110">
        <f>'Bao gia'!J11</f>
        <v/>
      </c>
      <c r="F69" s="110">
        <f>'Bao gia'!K11</f>
        <v/>
      </c>
      <c r="G69" s="110">
        <f>IF(M69=0,"",N69/M69)</f>
        <v/>
      </c>
      <c r="H69" s="107">
        <f>ROUNDUP(E69*$E$6,-3)</f>
        <v/>
      </c>
      <c r="I69" s="107">
        <f>ROUNDUP(F69*$E$6,-3)</f>
        <v/>
      </c>
      <c r="J69" s="110">
        <f>D69*(E69+F69)</f>
        <v/>
      </c>
      <c r="K69" s="110">
        <f>D69*H69</f>
        <v/>
      </c>
      <c r="L69" s="109" t="inlineStr">
        <is>
          <t>Lắp đặt</t>
        </is>
      </c>
      <c r="M69" s="129" t="n">
        <v>265.0265</v>
      </c>
      <c r="N69" s="110" t="n">
        <v>13251325</v>
      </c>
      <c r="O69" s="110">
        <f>$E$7*D69*(I69-Q69)+IF(L69="Thiết bị",0,$E$7*(M69*H69-N69))</f>
        <v/>
      </c>
      <c r="P69" s="108" t="n"/>
      <c r="Q69" s="110" t="n">
        <v>66234</v>
      </c>
    </row>
    <row r="70">
      <c r="A70" s="109" t="n">
        <v>9</v>
      </c>
      <c r="B70" s="108" t="inlineStr">
        <is>
          <t>Tê thép đen hàn DN65</t>
        </is>
      </c>
      <c r="C70" s="109" t="inlineStr">
        <is>
          <t>cái</t>
        </is>
      </c>
      <c r="D70" s="128" t="n">
        <v>22</v>
      </c>
      <c r="E70" s="110">
        <f>'Bao gia'!J12</f>
        <v/>
      </c>
      <c r="F70" s="110">
        <f>'Bao gia'!K12</f>
        <v/>
      </c>
      <c r="G70" s="110">
        <f>IF(M70=0,"",N70/M70)</f>
        <v/>
      </c>
      <c r="H70" s="107">
        <f>ROUNDUP(E70*$E$6,-3)</f>
        <v/>
      </c>
      <c r="I70" s="107">
        <f>ROUNDUP(F70*$E$6,-3)</f>
        <v/>
      </c>
      <c r="J70" s="110">
        <f>D70*(E70+F70)</f>
        <v/>
      </c>
      <c r="K70" s="110">
        <f>D70*H70</f>
        <v/>
      </c>
      <c r="L70" s="109" t="inlineStr">
        <is>
          <t>Lắp đặt</t>
        </is>
      </c>
      <c r="M70" s="129" t="n">
        <v>22.0022</v>
      </c>
      <c r="N70" s="110" t="n">
        <v>3630363</v>
      </c>
      <c r="O70" s="110">
        <f>$E$7*D70*(I70-Q70)+IF(L70="Thiết bị",0,$E$7*(M70*H70-N70))</f>
        <v/>
      </c>
      <c r="P70" s="108" t="n"/>
      <c r="Q70" s="110" t="n">
        <v>75696</v>
      </c>
    </row>
    <row r="71">
      <c r="A71" s="109" t="n">
        <v>10</v>
      </c>
      <c r="B71" s="108" t="inlineStr">
        <is>
          <t>Tê giảm thép đen hàn DN65</t>
        </is>
      </c>
      <c r="C71" s="109" t="inlineStr">
        <is>
          <t>cái</t>
        </is>
      </c>
      <c r="D71" s="128" t="n">
        <v>10</v>
      </c>
      <c r="E71" s="110">
        <f>'Bao gia'!J13</f>
        <v/>
      </c>
      <c r="F71" s="110">
        <f>'Bao gia'!K13</f>
        <v/>
      </c>
      <c r="G71" s="110">
        <f>IF(M71=0,"",N71/M71)</f>
        <v/>
      </c>
      <c r="H71" s="107">
        <f>ROUNDUP(E71*$E$6,-3)</f>
        <v/>
      </c>
      <c r="I71" s="107">
        <f>ROUNDUP(F71*$E$6,-3)</f>
        <v/>
      </c>
      <c r="J71" s="110">
        <f>D71*(E71+F71)</f>
        <v/>
      </c>
      <c r="K71" s="110">
        <f>D71*H71</f>
        <v/>
      </c>
      <c r="L71" s="109" t="inlineStr">
        <is>
          <t>Lắp đặt</t>
        </is>
      </c>
      <c r="M71" s="129" t="n">
        <v>10.001</v>
      </c>
      <c r="N71" s="110" t="n">
        <v>1650165</v>
      </c>
      <c r="O71" s="110">
        <f>$E$7*D71*(I71-Q71)+IF(L71="Thiết bị",0,$E$7*(M71*H71-N71))</f>
        <v/>
      </c>
      <c r="P71" s="108" t="n"/>
      <c r="Q71" s="110" t="n">
        <v>75696</v>
      </c>
    </row>
    <row r="72">
      <c r="A72" s="109" t="n">
        <v>11</v>
      </c>
      <c r="B72" s="108" t="inlineStr">
        <is>
          <t>Tê thép hàn tráng kẽm DN50</t>
        </is>
      </c>
      <c r="C72" s="109" t="inlineStr">
        <is>
          <t>cái</t>
        </is>
      </c>
      <c r="D72" s="128" t="n">
        <v>52</v>
      </c>
      <c r="E72" s="110">
        <f>'Bao gia'!J14</f>
        <v/>
      </c>
      <c r="F72" s="110">
        <f>'Bao gia'!K14</f>
        <v/>
      </c>
      <c r="G72" s="110">
        <f>IF(M72=0,"",N72/M72)</f>
        <v/>
      </c>
      <c r="H72" s="107">
        <f>ROUNDUP(E72*$E$6,-3)</f>
        <v/>
      </c>
      <c r="I72" s="107">
        <f>ROUNDUP(F72*$E$6,-3)</f>
        <v/>
      </c>
      <c r="J72" s="110">
        <f>D72*(E72+F72)</f>
        <v/>
      </c>
      <c r="K72" s="110">
        <f>D72*H72</f>
        <v/>
      </c>
      <c r="L72" s="109" t="inlineStr">
        <is>
          <t>Lắp đặt</t>
        </is>
      </c>
      <c r="M72" s="129" t="n">
        <v>52.0052</v>
      </c>
      <c r="N72" s="110" t="n">
        <v>7800780</v>
      </c>
      <c r="O72" s="110">
        <f>$E$7*D72*(I72-Q72)+IF(L72="Thiết bị",0,$E$7*(M72*H72-N72))</f>
        <v/>
      </c>
      <c r="P72" s="108" t="n"/>
      <c r="Q72" s="110" t="n">
        <v>100928</v>
      </c>
    </row>
    <row r="73">
      <c r="A73" s="109" t="n">
        <v>12</v>
      </c>
      <c r="B73" s="108" t="inlineStr">
        <is>
          <t>Tê giảm thép hàn DN100/65</t>
        </is>
      </c>
      <c r="C73" s="109" t="inlineStr">
        <is>
          <t>cái</t>
        </is>
      </c>
      <c r="D73" s="128" t="n">
        <v>1</v>
      </c>
      <c r="E73" s="110">
        <f>'Bao gia'!J15</f>
        <v/>
      </c>
      <c r="F73" s="110">
        <f>'Bao gia'!K15</f>
        <v/>
      </c>
      <c r="G73" s="110">
        <f>IF(M73=0,"",N73/M73)</f>
        <v/>
      </c>
      <c r="H73" s="107">
        <f>ROUNDUP(E73*$E$6,-3)</f>
        <v/>
      </c>
      <c r="I73" s="107">
        <f>ROUNDUP(F73*$E$6,-3)</f>
        <v/>
      </c>
      <c r="J73" s="110">
        <f>D73*(E73+F73)</f>
        <v/>
      </c>
      <c r="K73" s="110">
        <f>D73*H73</f>
        <v/>
      </c>
      <c r="L73" s="109" t="inlineStr">
        <is>
          <t>Lắp đặt</t>
        </is>
      </c>
      <c r="M73" s="129" t="n">
        <v>1.0001</v>
      </c>
      <c r="N73" s="110" t="n">
        <v>180018</v>
      </c>
      <c r="O73" s="110">
        <f>$E$7*D73*(I73-Q73)+IF(L73="Thiết bị",0,$E$7*(M73*H73-N73))</f>
        <v/>
      </c>
      <c r="P73" s="108" t="n"/>
      <c r="Q73" s="110" t="n">
        <v>113544</v>
      </c>
    </row>
    <row r="74">
      <c r="A74" s="109" t="n">
        <v>13</v>
      </c>
      <c r="B74" s="108" t="inlineStr">
        <is>
          <t>Tê giảm thép hàn DN65/50</t>
        </is>
      </c>
      <c r="C74" s="109" t="inlineStr">
        <is>
          <t>cái</t>
        </is>
      </c>
      <c r="D74" s="128" t="n">
        <v>5</v>
      </c>
      <c r="E74" s="110">
        <f>'Bao gia'!J16</f>
        <v/>
      </c>
      <c r="F74" s="110">
        <f>'Bao gia'!K16</f>
        <v/>
      </c>
      <c r="G74" s="110">
        <f>IF(M74=0,"",N74/M74)</f>
        <v/>
      </c>
      <c r="H74" s="107">
        <f>ROUNDUP(E74*$E$6,-3)</f>
        <v/>
      </c>
      <c r="I74" s="107">
        <f>ROUNDUP(F74*$E$6,-3)</f>
        <v/>
      </c>
      <c r="J74" s="110">
        <f>D74*(E74+F74)</f>
        <v/>
      </c>
      <c r="K74" s="110">
        <f>D74*H74</f>
        <v/>
      </c>
      <c r="L74" s="109" t="inlineStr">
        <is>
          <t>Lắp đặt</t>
        </is>
      </c>
      <c r="M74" s="129" t="n">
        <v>5.0005</v>
      </c>
      <c r="N74" s="110" t="n">
        <v>750075</v>
      </c>
      <c r="O74" s="110">
        <f>$E$7*D74*(I74-Q74)+IF(L74="Thiết bị",0,$E$7*(M74*H74-N74))</f>
        <v/>
      </c>
      <c r="P74" s="108" t="n"/>
      <c r="Q74" s="110" t="n">
        <v>75696</v>
      </c>
    </row>
    <row r="75">
      <c r="A75" s="109" t="n">
        <v>14</v>
      </c>
      <c r="B75" s="108" t="inlineStr">
        <is>
          <t>Côn giảm thép hàn DN80/65</t>
        </is>
      </c>
      <c r="C75" s="109" t="inlineStr">
        <is>
          <t>cái</t>
        </is>
      </c>
      <c r="D75" s="128" t="n">
        <v>1</v>
      </c>
      <c r="E75" s="110">
        <f>'Bao gia'!J17</f>
        <v/>
      </c>
      <c r="F75" s="110">
        <f>'Bao gia'!K17</f>
        <v/>
      </c>
      <c r="G75" s="110">
        <f>IF(M75=0,"",N75/M75)</f>
        <v/>
      </c>
      <c r="H75" s="107">
        <f>ROUNDUP(E75*$E$6,-3)</f>
        <v/>
      </c>
      <c r="I75" s="107">
        <f>ROUNDUP(F75*$E$6,-3)</f>
        <v/>
      </c>
      <c r="J75" s="110">
        <f>D75*(E75+F75)</f>
        <v/>
      </c>
      <c r="K75" s="110">
        <f>D75*H75</f>
        <v/>
      </c>
      <c r="L75" s="109" t="inlineStr">
        <is>
          <t>Lắp đặt</t>
        </is>
      </c>
      <c r="M75" s="129" t="n">
        <v>1.0001</v>
      </c>
      <c r="N75" s="110" t="n">
        <v>80008</v>
      </c>
      <c r="O75" s="110">
        <f>$E$7*D75*(I75-Q75)+IF(L75="Thiết bị",0,$E$7*(M75*H75-N75))</f>
        <v/>
      </c>
      <c r="P75" s="108" t="n"/>
      <c r="Q75" s="110" t="n">
        <v>100928</v>
      </c>
    </row>
    <row r="76">
      <c r="A76" s="109" t="n">
        <v>15</v>
      </c>
      <c r="B76" s="108" t="inlineStr">
        <is>
          <t>Mặt bích thép DN80</t>
        </is>
      </c>
      <c r="C76" s="109" t="inlineStr">
        <is>
          <t>cái</t>
        </is>
      </c>
      <c r="D76" s="128" t="n">
        <v>1</v>
      </c>
      <c r="E76" s="110">
        <f>'Bao gia'!J18</f>
        <v/>
      </c>
      <c r="F76" s="110">
        <f>'Bao gia'!K18</f>
        <v/>
      </c>
      <c r="G76" s="110">
        <f>IF(M76=0,"",N76/M76)</f>
        <v/>
      </c>
      <c r="H76" s="107">
        <f>ROUNDUP(E76*$E$6,-3)</f>
        <v/>
      </c>
      <c r="I76" s="107">
        <f>ROUNDUP(F76*$E$6,-3)</f>
        <v/>
      </c>
      <c r="J76" s="110">
        <f>D76*(E76+F76)</f>
        <v/>
      </c>
      <c r="K76" s="110">
        <f>D76*H76</f>
        <v/>
      </c>
      <c r="L76" s="109" t="inlineStr">
        <is>
          <t>Lắp đặt</t>
        </is>
      </c>
      <c r="M76" s="129" t="n">
        <v>1.0001</v>
      </c>
      <c r="N76" s="110" t="n">
        <v>321032.1</v>
      </c>
      <c r="O76" s="110">
        <f>$E$7*D76*(I76-Q76)+IF(L76="Thiết bị",0,$E$7*(M76*H76-N76))</f>
        <v/>
      </c>
      <c r="P76" s="108" t="n"/>
      <c r="Q76" s="110" t="n">
        <v>59926</v>
      </c>
    </row>
    <row r="77">
      <c r="A77" s="109" t="n">
        <v>16</v>
      </c>
      <c r="B77" s="108" t="inlineStr">
        <is>
          <t>Roăng su DN80</t>
        </is>
      </c>
      <c r="C77" s="109" t="inlineStr">
        <is>
          <t>cái</t>
        </is>
      </c>
      <c r="D77" s="128" t="n">
        <v>1</v>
      </c>
      <c r="E77" s="110">
        <f>'Bao gia'!J19</f>
        <v/>
      </c>
      <c r="F77" s="110">
        <f>'Bao gia'!K19</f>
        <v/>
      </c>
      <c r="G77" s="110">
        <f>IF(M77=0,"",N77/M77)</f>
        <v/>
      </c>
      <c r="H77" s="107">
        <f>ROUNDUP(E77*$E$6,-3)</f>
        <v/>
      </c>
      <c r="I77" s="107">
        <f>ROUNDUP(F77*$E$6,-3)</f>
        <v/>
      </c>
      <c r="J77" s="110">
        <f>D77*(E77+F77)</f>
        <v/>
      </c>
      <c r="K77" s="110">
        <f>D77*H77</f>
        <v/>
      </c>
      <c r="L77" s="109" t="inlineStr">
        <is>
          <t>Lắp đặt</t>
        </is>
      </c>
      <c r="M77" s="129" t="n">
        <v>1</v>
      </c>
      <c r="N77" s="110" t="n">
        <v>150000</v>
      </c>
      <c r="O77" s="110">
        <f>$E$7*D77*(I77-Q77)+IF(L77="Thiết bị",0,$E$7*(M77*H77-N77))</f>
        <v/>
      </c>
      <c r="P77" s="108" t="n"/>
      <c r="Q77" s="110" t="n">
        <v>0</v>
      </c>
    </row>
    <row r="78">
      <c r="A78" s="109" t="n">
        <v>17</v>
      </c>
      <c r="B78" s="108" t="inlineStr">
        <is>
          <t>Van 1 chiều DN80</t>
        </is>
      </c>
      <c r="C78" s="109" t="inlineStr">
        <is>
          <t>cái</t>
        </is>
      </c>
      <c r="D78" s="128" t="n">
        <v>1</v>
      </c>
      <c r="E78" s="110">
        <f>'Bao gia'!J20</f>
        <v/>
      </c>
      <c r="F78" s="110">
        <f>'Bao gia'!K20</f>
        <v/>
      </c>
      <c r="G78" s="110">
        <f>IF(M78=0,"",N78/M78)</f>
        <v/>
      </c>
      <c r="H78" s="107">
        <f>ROUNDUP(E78*$E$6,-3)</f>
        <v/>
      </c>
      <c r="I78" s="107">
        <f>ROUNDUP(F78*$E$6,-3)</f>
        <v/>
      </c>
      <c r="J78" s="110">
        <f>D78*(E78+F78)</f>
        <v/>
      </c>
      <c r="K78" s="110">
        <f>D78*H78</f>
        <v/>
      </c>
      <c r="L78" s="109" t="inlineStr">
        <is>
          <t>Lắp đặt</t>
        </is>
      </c>
      <c r="M78" s="129" t="n">
        <v>1.0001</v>
      </c>
      <c r="N78" s="110" t="n">
        <v>350035</v>
      </c>
      <c r="O78" s="110">
        <f>$E$7*D78*(I78-Q78)+IF(L78="Thiết bị",0,$E$7*(M78*H78-N78))</f>
        <v/>
      </c>
      <c r="P78" s="108" t="n"/>
      <c r="Q78" s="110" t="n">
        <v>97774</v>
      </c>
    </row>
    <row r="79">
      <c r="A79" s="109" t="n">
        <v>18</v>
      </c>
      <c r="B79" s="108" t="inlineStr">
        <is>
          <t>Rơ le kiểm tra mực nước</t>
        </is>
      </c>
      <c r="C79" s="109" t="inlineStr">
        <is>
          <t>cái</t>
        </is>
      </c>
      <c r="D79" s="128" t="n">
        <v>4</v>
      </c>
      <c r="E79" s="110">
        <f>'Bao gia'!J21</f>
        <v/>
      </c>
      <c r="F79" s="110">
        <f>'Bao gia'!K21</f>
        <v/>
      </c>
      <c r="G79" s="110">
        <f>IF(M79=0,"",N79/M79)</f>
        <v/>
      </c>
      <c r="H79" s="107">
        <f>ROUNDUP(E79*$E$6,-3)</f>
        <v/>
      </c>
      <c r="I79" s="107">
        <f>ROUNDUP(F79*$E$6,-3)</f>
        <v/>
      </c>
      <c r="J79" s="110">
        <f>D79*(E79+F79)</f>
        <v/>
      </c>
      <c r="K79" s="110">
        <f>D79*H79</f>
        <v/>
      </c>
      <c r="L79" s="109" t="inlineStr">
        <is>
          <t>Lắp đặt</t>
        </is>
      </c>
      <c r="M79" s="129" t="n">
        <v>4.0004</v>
      </c>
      <c r="N79" s="110" t="n">
        <v>4600460</v>
      </c>
      <c r="O79" s="110">
        <f>$E$7*D79*(I79-Q79)+IF(L79="Thiết bị",0,$E$7*(M79*H79-N79))</f>
        <v/>
      </c>
      <c r="P79" s="108" t="n"/>
      <c r="Q79" s="110" t="n">
        <v>31540</v>
      </c>
    </row>
    <row r="80">
      <c r="A80" s="109" t="n">
        <v>19</v>
      </c>
      <c r="B80" s="108" t="inlineStr">
        <is>
          <t>Tủ chữa cháy KT: 400x600x200mm, tole dày 0,8mm, sơn tĩnh điện màu đỏ</t>
        </is>
      </c>
      <c r="C80" s="109" t="inlineStr">
        <is>
          <t>cái</t>
        </is>
      </c>
      <c r="D80" s="128" t="n">
        <v>57</v>
      </c>
      <c r="E80" s="110">
        <f>'Bao gia'!J22</f>
        <v/>
      </c>
      <c r="F80" s="110">
        <f>'Bao gia'!K22</f>
        <v/>
      </c>
      <c r="G80" s="110">
        <f>IF(M80=0,"",N80/M80)</f>
        <v/>
      </c>
      <c r="H80" s="107">
        <f>ROUNDUP(E80*$E$6,-3)</f>
        <v/>
      </c>
      <c r="I80" s="107">
        <f>ROUNDUP(F80*$E$6,-3)</f>
        <v/>
      </c>
      <c r="J80" s="110">
        <f>D80*(E80+F80)</f>
        <v/>
      </c>
      <c r="K80" s="110">
        <f>D80*H80</f>
        <v/>
      </c>
      <c r="L80" s="109" t="inlineStr">
        <is>
          <t>Lắp đặt</t>
        </is>
      </c>
      <c r="M80" s="129" t="n">
        <v>59.85</v>
      </c>
      <c r="N80" s="110" t="n">
        <v>19152000</v>
      </c>
      <c r="O80" s="110">
        <f>$E$7*D80*(I80-Q80)+IF(L80="Thiết bị",0,$E$7*(M80*H80-N80))</f>
        <v/>
      </c>
      <c r="P80" s="108" t="n"/>
      <c r="Q80" s="110" t="n">
        <v>94620</v>
      </c>
    </row>
    <row r="81">
      <c r="A81" s="109" t="n">
        <v>20</v>
      </c>
      <c r="B81" s="108" t="inlineStr">
        <is>
          <t>Cuộn vòi chữa cháy Ø50 - L = 20m + lăng phun</t>
        </is>
      </c>
      <c r="C81" s="109" t="inlineStr">
        <is>
          <t>cái</t>
        </is>
      </c>
      <c r="D81" s="128" t="n">
        <v>70</v>
      </c>
      <c r="E81" s="110">
        <f>'Bao gia'!J23</f>
        <v/>
      </c>
      <c r="F81" s="110">
        <f>'Bao gia'!K23</f>
        <v/>
      </c>
      <c r="G81" s="110">
        <f>IF(M81=0,"",N81/M81)</f>
        <v/>
      </c>
      <c r="H81" s="107">
        <f>ROUNDUP(E81*$E$6,-3)</f>
        <v/>
      </c>
      <c r="I81" s="107">
        <f>ROUNDUP(F81*$E$6,-3)</f>
        <v/>
      </c>
      <c r="J81" s="110">
        <f>D81*(E81+F81)</f>
        <v/>
      </c>
      <c r="K81" s="110">
        <f>D81*H81</f>
        <v/>
      </c>
      <c r="L81" s="109" t="inlineStr">
        <is>
          <t>Lắp đặt</t>
        </is>
      </c>
      <c r="M81" s="129" t="n">
        <v>70</v>
      </c>
      <c r="N81" s="110" t="n">
        <v>33600000</v>
      </c>
      <c r="O81" s="110">
        <f>$E$7*D81*(I81-Q81)+IF(L81="Thiết bị",0,$E$7*(M81*H81-N81))</f>
        <v/>
      </c>
      <c r="P81" s="108" t="inlineStr">
        <is>
          <t>Giá vốn tách từ 'Cuộn vòi + lăng phun' 600.000/67.692</t>
        </is>
      </c>
      <c r="Q81" s="110" t="n">
        <v>0</v>
      </c>
    </row>
    <row r="82">
      <c r="A82" s="109" t="n">
        <v>21</v>
      </c>
      <c r="B82" s="108" t="inlineStr">
        <is>
          <t>Lăng phun DN50</t>
        </is>
      </c>
      <c r="C82" s="109" t="inlineStr">
        <is>
          <t>cái</t>
        </is>
      </c>
      <c r="D82" s="128" t="n">
        <v>70</v>
      </c>
      <c r="E82" s="110">
        <f>'Bao gia'!J24</f>
        <v/>
      </c>
      <c r="F82" s="110">
        <f>'Bao gia'!K24</f>
        <v/>
      </c>
      <c r="G82" s="110">
        <f>IF(M82=0,"",N82/M82)</f>
        <v/>
      </c>
      <c r="H82" s="107">
        <f>ROUNDUP(E82*$E$6,-3)</f>
        <v/>
      </c>
      <c r="I82" s="107">
        <f>ROUNDUP(F82*$E$6,-3)</f>
        <v/>
      </c>
      <c r="J82" s="110">
        <f>D82*(E82+F82)</f>
        <v/>
      </c>
      <c r="K82" s="110">
        <f>D82*H82</f>
        <v/>
      </c>
      <c r="L82" s="109" t="inlineStr">
        <is>
          <t>Lắp đặt</t>
        </is>
      </c>
      <c r="M82" s="129" t="n">
        <v>70</v>
      </c>
      <c r="N82" s="110" t="n">
        <v>5600000</v>
      </c>
      <c r="O82" s="110">
        <f>$E$7*D82*(I82-Q82)+IF(L82="Thiết bị",0,$E$7*(M82*H82-N82))</f>
        <v/>
      </c>
      <c r="P82" s="108" t="inlineStr">
        <is>
          <t>Giá vốn tách từ 'Cuộn vòi + lăng phun' 600.000/67.692</t>
        </is>
      </c>
      <c r="Q82" s="110" t="n">
        <v>0</v>
      </c>
    </row>
    <row r="83">
      <c r="A83" s="109" t="n">
        <v>22</v>
      </c>
      <c r="B83" s="108" t="inlineStr">
        <is>
          <t>Van góc FUJI DN50</t>
        </is>
      </c>
      <c r="C83" s="109" t="inlineStr">
        <is>
          <t>cái</t>
        </is>
      </c>
      <c r="D83" s="128" t="n">
        <v>70</v>
      </c>
      <c r="E83" s="110">
        <f>'Bao gia'!J25</f>
        <v/>
      </c>
      <c r="F83" s="110">
        <f>'Bao gia'!K25</f>
        <v/>
      </c>
      <c r="G83" s="110">
        <f>IF(M83=0,"",N83/M83)</f>
        <v/>
      </c>
      <c r="H83" s="107">
        <f>ROUNDUP(E83*$E$6,-3)</f>
        <v/>
      </c>
      <c r="I83" s="107">
        <f>ROUNDUP(F83*$E$6,-3)</f>
        <v/>
      </c>
      <c r="J83" s="110">
        <f>D83*(E83+F83)</f>
        <v/>
      </c>
      <c r="K83" s="110">
        <f>D83*H83</f>
        <v/>
      </c>
      <c r="L83" s="109" t="inlineStr">
        <is>
          <t>Lắp đặt</t>
        </is>
      </c>
      <c r="M83" s="129" t="n">
        <v>70.00700000000001</v>
      </c>
      <c r="N83" s="110" t="n">
        <v>17501750</v>
      </c>
      <c r="O83" s="110">
        <f>$E$7*D83*(I83-Q83)+IF(L83="Thiết bị",0,$E$7*(M83*H83-N83))</f>
        <v/>
      </c>
      <c r="P83" s="108" t="n"/>
      <c r="Q83" s="110" t="n">
        <v>66234</v>
      </c>
    </row>
    <row r="84">
      <c r="A84" s="109" t="n">
        <v>23</v>
      </c>
      <c r="B84" s="108" t="inlineStr">
        <is>
          <t>Bộ nội quy tiêu lệnh chữa cháy - Chất liệu bằng tôn</t>
        </is>
      </c>
      <c r="C84" s="109" t="inlineStr">
        <is>
          <t>cái</t>
        </is>
      </c>
      <c r="D84" s="128" t="n">
        <v>5</v>
      </c>
      <c r="E84" s="110">
        <f>'Bao gia'!J26</f>
        <v/>
      </c>
      <c r="F84" s="110">
        <f>'Bao gia'!K26</f>
        <v/>
      </c>
      <c r="G84" s="110">
        <f>IF(M84=0,"",N84/M84)</f>
        <v/>
      </c>
      <c r="H84" s="107">
        <f>ROUNDUP(E84*$E$6,-3)</f>
        <v/>
      </c>
      <c r="I84" s="107">
        <f>ROUNDUP(F84*$E$6,-3)</f>
        <v/>
      </c>
      <c r="J84" s="110">
        <f>D84*(E84+F84)</f>
        <v/>
      </c>
      <c r="K84" s="110">
        <f>D84*H84</f>
        <v/>
      </c>
      <c r="L84" s="109" t="inlineStr">
        <is>
          <t>Thiết bị</t>
        </is>
      </c>
      <c r="M84" s="129" t="n">
        <v>5</v>
      </c>
      <c r="N84" s="110" t="n">
        <v>200000</v>
      </c>
      <c r="O84" s="110">
        <f>$E$7*D84*(I84-Q84)+IF(L84="Thiết bị",0,$E$7*(M84*H84-N84))</f>
        <v/>
      </c>
      <c r="P84" s="108" t="inlineStr">
        <is>
          <t>Thiết bị – vào chi phí thiết bị (không nhân hệ số XD)</t>
        </is>
      </c>
      <c r="Q84" s="110" t="n">
        <v>0</v>
      </c>
    </row>
    <row r="85">
      <c r="A85" s="109" t="n">
        <v>24</v>
      </c>
      <c r="B85" s="108" t="inlineStr">
        <is>
          <t>Kệ đỡ bình chữa cháy</t>
        </is>
      </c>
      <c r="C85" s="109" t="inlineStr">
        <is>
          <t>cái</t>
        </is>
      </c>
      <c r="D85" s="128" t="n">
        <v>10</v>
      </c>
      <c r="E85" s="110">
        <f>'Bao gia'!J27</f>
        <v/>
      </c>
      <c r="F85" s="110">
        <f>'Bao gia'!K27</f>
        <v/>
      </c>
      <c r="G85" s="110">
        <f>IF(M85=0,"",N85/M85)</f>
        <v/>
      </c>
      <c r="H85" s="107">
        <f>ROUNDUP(E85*$E$6,-3)</f>
        <v/>
      </c>
      <c r="I85" s="107">
        <f>ROUNDUP(F85*$E$6,-3)</f>
        <v/>
      </c>
      <c r="J85" s="110">
        <f>D85*(E85+F85)</f>
        <v/>
      </c>
      <c r="K85" s="110">
        <f>D85*H85</f>
        <v/>
      </c>
      <c r="L85" s="109" t="inlineStr">
        <is>
          <t>Thiết bị</t>
        </is>
      </c>
      <c r="M85" s="129" t="n">
        <v>10</v>
      </c>
      <c r="N85" s="110" t="n">
        <v>1100000</v>
      </c>
      <c r="O85" s="110">
        <f>$E$7*D85*(I85-Q85)+IF(L85="Thiết bị",0,$E$7*(M85*H85-N85))</f>
        <v/>
      </c>
      <c r="P85" s="108" t="inlineStr">
        <is>
          <t>Thiết bị – vào chi phí thiết bị (không nhân hệ số XD)</t>
        </is>
      </c>
      <c r="Q85" s="110" t="n">
        <v>0</v>
      </c>
    </row>
    <row r="86">
      <c r="A86" s="109" t="n">
        <v>25</v>
      </c>
      <c r="B86" s="108" t="inlineStr">
        <is>
          <t>BÌNH BỘT ABC 8KG</t>
        </is>
      </c>
      <c r="C86" s="109" t="inlineStr">
        <is>
          <t>cái</t>
        </is>
      </c>
      <c r="D86" s="128" t="n">
        <v>20</v>
      </c>
      <c r="E86" s="110">
        <f>'Bao gia'!J28</f>
        <v/>
      </c>
      <c r="F86" s="110">
        <f>'Bao gia'!K28</f>
        <v/>
      </c>
      <c r="G86" s="110">
        <f>IF(M86=0,"",N86/M86)</f>
        <v/>
      </c>
      <c r="H86" s="107">
        <f>ROUNDUP(E86*$E$6,-3)</f>
        <v/>
      </c>
      <c r="I86" s="107">
        <f>ROUNDUP(F86*$E$6,-3)</f>
        <v/>
      </c>
      <c r="J86" s="110">
        <f>D86*(E86+F86)</f>
        <v/>
      </c>
      <c r="K86" s="110">
        <f>D86*H86</f>
        <v/>
      </c>
      <c r="L86" s="109" t="inlineStr">
        <is>
          <t>Thiết bị</t>
        </is>
      </c>
      <c r="M86" s="129" t="n">
        <v>20</v>
      </c>
      <c r="N86" s="110" t="n">
        <v>11000000</v>
      </c>
      <c r="O86" s="110">
        <f>$E$7*D86*(I86-Q86)+IF(L86="Thiết bị",0,$E$7*(M86*H86-N86))</f>
        <v/>
      </c>
      <c r="P86" s="108" t="inlineStr">
        <is>
          <t>Thiết bị – vào chi phí thiết bị (không nhân hệ số XD)</t>
        </is>
      </c>
      <c r="Q86" s="110" t="n">
        <v>0</v>
      </c>
    </row>
    <row r="87">
      <c r="A87" s="109" t="n">
        <v>26</v>
      </c>
      <c r="B87" s="108" t="inlineStr">
        <is>
          <t>Đèn exit</t>
        </is>
      </c>
      <c r="C87" s="109" t="inlineStr">
        <is>
          <t>cái</t>
        </is>
      </c>
      <c r="D87" s="128" t="n">
        <v>11</v>
      </c>
      <c r="E87" s="110">
        <f>'Bao gia'!J29</f>
        <v/>
      </c>
      <c r="F87" s="110">
        <f>'Bao gia'!K29</f>
        <v/>
      </c>
      <c r="G87" s="110">
        <f>IF(M87=0,"",N87/M87)</f>
        <v/>
      </c>
      <c r="H87" s="107">
        <f>ROUNDUP(E87*$E$6,-3)</f>
        <v/>
      </c>
      <c r="I87" s="107">
        <f>ROUNDUP(F87*$E$6,-3)</f>
        <v/>
      </c>
      <c r="J87" s="110">
        <f>D87*(E87+F87)</f>
        <v/>
      </c>
      <c r="K87" s="110">
        <f>D87*H87</f>
        <v/>
      </c>
      <c r="L87" s="109" t="inlineStr">
        <is>
          <t>Lắp đặt</t>
        </is>
      </c>
      <c r="M87" s="129" t="n">
        <v>11.55</v>
      </c>
      <c r="N87" s="110" t="n">
        <v>2310000</v>
      </c>
      <c r="O87" s="110">
        <f>$E$7*D87*(I87-Q87)+IF(L87="Thiết bị",0,$E$7*(M87*H87-N87))</f>
        <v/>
      </c>
      <c r="P87" s="108" t="n"/>
      <c r="Q87" s="110" t="n">
        <v>93090</v>
      </c>
    </row>
    <row r="88">
      <c r="A88" s="109" t="n">
        <v>27</v>
      </c>
      <c r="B88" s="108" t="inlineStr">
        <is>
          <t>Đèn chiếu sáng sự cố</t>
        </is>
      </c>
      <c r="C88" s="109" t="inlineStr">
        <is>
          <t>cái</t>
        </is>
      </c>
      <c r="D88" s="128" t="n">
        <v>54</v>
      </c>
      <c r="E88" s="110">
        <f>'Bao gia'!J30</f>
        <v/>
      </c>
      <c r="F88" s="110">
        <f>'Bao gia'!K30</f>
        <v/>
      </c>
      <c r="G88" s="110">
        <f>IF(M88=0,"",N88/M88)</f>
        <v/>
      </c>
      <c r="H88" s="107">
        <f>ROUNDUP(E88*$E$6,-3)</f>
        <v/>
      </c>
      <c r="I88" s="107">
        <f>ROUNDUP(F88*$E$6,-3)</f>
        <v/>
      </c>
      <c r="J88" s="110">
        <f>D88*(E88+F88)</f>
        <v/>
      </c>
      <c r="K88" s="110">
        <f>D88*H88</f>
        <v/>
      </c>
      <c r="L88" s="109" t="inlineStr">
        <is>
          <t>Lắp đặt</t>
        </is>
      </c>
      <c r="M88" s="129" t="n">
        <v>56.7</v>
      </c>
      <c r="N88" s="110" t="n">
        <v>11340000</v>
      </c>
      <c r="O88" s="110">
        <f>$E$7*D88*(I88-Q88)+IF(L88="Thiết bị",0,$E$7*(M88*H88-N88))</f>
        <v/>
      </c>
      <c r="P88" s="108" t="n"/>
      <c r="Q88" s="110" t="n">
        <v>93090</v>
      </c>
    </row>
    <row r="89">
      <c r="A89" s="109" t="n">
        <v>28</v>
      </c>
      <c r="B89" s="108" t="inlineStr">
        <is>
          <t>Đèn báo trạm bơm</t>
        </is>
      </c>
      <c r="C89" s="109" t="inlineStr">
        <is>
          <t>cái</t>
        </is>
      </c>
      <c r="D89" s="128">
        <f>N('Bao gia'!D31)</f>
        <v/>
      </c>
      <c r="E89" s="110">
        <f>'Bao gia'!J31</f>
        <v/>
      </c>
      <c r="F89" s="110">
        <f>'Bao gia'!K31</f>
        <v/>
      </c>
      <c r="G89" s="110">
        <f>IF(M89=0,"",N89/M89)</f>
        <v/>
      </c>
      <c r="H89" s="107">
        <f>ROUNDUP(E89*$E$6,-3)</f>
        <v/>
      </c>
      <c r="I89" s="107">
        <f>ROUNDUP(F89*$E$6,-3)</f>
        <v/>
      </c>
      <c r="J89" s="110">
        <f>D89*(E89+F89)</f>
        <v/>
      </c>
      <c r="K89" s="110">
        <f>D89*H89</f>
        <v/>
      </c>
      <c r="L89" s="109" t="inlineStr">
        <is>
          <t>Lắp đặt</t>
        </is>
      </c>
      <c r="M89" s="129" t="n">
        <v>0</v>
      </c>
      <c r="N89" s="110" t="n">
        <v>0</v>
      </c>
      <c r="O89" s="110">
        <f>$E$7*D89*(I89-Q89)+IF(L89="Thiết bị",0,$E$7*(M89*H89-N89))</f>
        <v/>
      </c>
      <c r="P89" s="108" t="inlineStr">
        <is>
          <t>Chưa có giá vốn, chưa có trong dự toán – nếu dùng thì điền KL và giá vốn ở sheet Bao gia</t>
        </is>
      </c>
      <c r="Q89" s="110" t="n">
        <v>0</v>
      </c>
    </row>
    <row r="90">
      <c r="A90" s="109" t="n">
        <v>29</v>
      </c>
      <c r="B90" s="108" t="inlineStr">
        <is>
          <t>Sơ đồ chỉ dẫn thoát hiểm 400x600</t>
        </is>
      </c>
      <c r="C90" s="109" t="inlineStr">
        <is>
          <t>cái</t>
        </is>
      </c>
      <c r="D90" s="128" t="n">
        <v>35</v>
      </c>
      <c r="E90" s="110">
        <f>'Bao gia'!J32</f>
        <v/>
      </c>
      <c r="F90" s="110">
        <f>'Bao gia'!K32</f>
        <v/>
      </c>
      <c r="G90" s="110">
        <f>IF(M90=0,"",N90/M90)</f>
        <v/>
      </c>
      <c r="H90" s="107">
        <f>ROUNDUP(E90*$E$6,-3)</f>
        <v/>
      </c>
      <c r="I90" s="107">
        <f>ROUNDUP(F90*$E$6,-3)</f>
        <v/>
      </c>
      <c r="J90" s="110">
        <f>D90*(E90+F90)</f>
        <v/>
      </c>
      <c r="K90" s="110">
        <f>D90*H90</f>
        <v/>
      </c>
      <c r="L90" s="109" t="inlineStr">
        <is>
          <t>Thiết bị</t>
        </is>
      </c>
      <c r="M90" s="129" t="n">
        <v>35</v>
      </c>
      <c r="N90" s="110" t="n">
        <v>5250000</v>
      </c>
      <c r="O90" s="110">
        <f>$E$7*D90*(I90-Q90)+IF(L90="Thiết bị",0,$E$7*(M90*H90-N90))</f>
        <v/>
      </c>
      <c r="P90" s="108" t="inlineStr">
        <is>
          <t>Thiết bị – vào chi phí thiết bị (không nhân hệ số XD)</t>
        </is>
      </c>
      <c r="Q90" s="110" t="n">
        <v>0</v>
      </c>
    </row>
    <row r="91">
      <c r="A91" s="109" t="n">
        <v>30</v>
      </c>
      <c r="B91" s="108" t="inlineStr">
        <is>
          <t>Họng tiếp nước ngoài nhà 2 cửa- ngàm nhôm</t>
        </is>
      </c>
      <c r="C91" s="109" t="inlineStr">
        <is>
          <t>cái</t>
        </is>
      </c>
      <c r="D91" s="128" t="n">
        <v>3</v>
      </c>
      <c r="E91" s="110">
        <f>'Bao gia'!J33</f>
        <v/>
      </c>
      <c r="F91" s="110">
        <f>'Bao gia'!K33</f>
        <v/>
      </c>
      <c r="G91" s="110">
        <f>IF(M91=0,"",N91/M91)</f>
        <v/>
      </c>
      <c r="H91" s="107">
        <f>ROUNDUP(E91*$E$6,-3)</f>
        <v/>
      </c>
      <c r="I91" s="107">
        <f>ROUNDUP(F91*$E$6,-3)</f>
        <v/>
      </c>
      <c r="J91" s="110">
        <f>D91*(E91+F91)</f>
        <v/>
      </c>
      <c r="K91" s="110">
        <f>D91*H91</f>
        <v/>
      </c>
      <c r="L91" s="109" t="inlineStr">
        <is>
          <t>Lắp đặt</t>
        </is>
      </c>
      <c r="M91" s="129" t="n">
        <v>3.003</v>
      </c>
      <c r="N91" s="110" t="n">
        <v>2852850</v>
      </c>
      <c r="O91" s="110">
        <f>$E$7*D91*(I91-Q91)+IF(L91="Thiết bị",0,$E$7*(M91*H91-N91))</f>
        <v/>
      </c>
      <c r="P91" s="108" t="n"/>
      <c r="Q91" s="110" t="n">
        <v>110390</v>
      </c>
    </row>
    <row r="92">
      <c r="A92" s="125" t="n"/>
      <c r="B92" s="125" t="inlineStr">
        <is>
          <t>CỘNG</t>
        </is>
      </c>
      <c r="C92" s="125" t="n"/>
      <c r="D92" s="125" t="n"/>
      <c r="E92" s="125" t="n"/>
      <c r="F92" s="125" t="n"/>
      <c r="G92" s="125" t="n"/>
      <c r="H92" s="125" t="n"/>
      <c r="I92" s="125" t="n"/>
      <c r="J92" s="117">
        <f>SUM(J62:J91)</f>
        <v/>
      </c>
      <c r="K92" s="117">
        <f>SUM(K62:K91)</f>
        <v/>
      </c>
      <c r="L92" s="125" t="n"/>
      <c r="M92" s="125" t="n"/>
      <c r="N92" s="117">
        <f>SUM(N62:N91)</f>
        <v/>
      </c>
      <c r="O92" s="117">
        <f>SUM(O62:O91)</f>
        <v/>
      </c>
      <c r="P92" s="125" t="n"/>
      <c r="Q92" s="125" t="n"/>
    </row>
    <row r="94">
      <c r="A94" s="102" t="inlineStr">
        <is>
          <t>D. GIÁ VỐN PCCC NGOÀI BÁO GIÁ (giữ đơn giá dự toán – theo sheet 'Gia von chi tiet', khối lượng tiên lượng)</t>
        </is>
      </c>
    </row>
    <row r="95">
      <c r="A95" s="103" t="inlineStr">
        <is>
          <t>STT</t>
        </is>
      </c>
      <c r="B95" s="103" t="inlineStr">
        <is>
          <t>Hạng mục</t>
        </is>
      </c>
      <c r="C95" s="103" t="inlineStr">
        <is>
          <t>Nhóm</t>
        </is>
      </c>
      <c r="D95" s="103" t="inlineStr">
        <is>
          <t>Khối lượng</t>
        </is>
      </c>
      <c r="E95" s="103" t="inlineStr">
        <is>
          <t>Giá vốn VT</t>
        </is>
      </c>
      <c r="F95" s="103" t="inlineStr">
        <is>
          <t>Giá vốn NC</t>
        </is>
      </c>
      <c r="G95" s="103" t="inlineStr">
        <is>
          <t>Thành tiền</t>
        </is>
      </c>
    </row>
    <row r="96">
      <c r="A96" s="120" t="n">
        <v>1</v>
      </c>
      <c r="B96" s="108" t="inlineStr">
        <is>
          <t>Ống thép tráng kẽm DN65</t>
        </is>
      </c>
      <c r="C96" s="120" t="inlineStr">
        <is>
          <t>Lắp đặt PCCC</t>
        </is>
      </c>
      <c r="D96" s="128" t="n">
        <v>860</v>
      </c>
      <c r="E96" s="110" t="n">
        <v>140000</v>
      </c>
      <c r="F96" s="110" t="n">
        <v>100000</v>
      </c>
      <c r="G96" s="110" t="n">
        <v>206400000</v>
      </c>
      <c r="H96" s="90" t="inlineStr">
        <is>
          <t>Trong đó vật tư phụ 5%:</t>
        </is>
      </c>
      <c r="J96" s="130">
        <f>SUMIF(C96:C110,"Vật tư phụ",G96:G110)</f>
        <v/>
      </c>
    </row>
    <row r="97">
      <c r="A97" s="120" t="n">
        <v>2</v>
      </c>
      <c r="B97" s="108" t="inlineStr">
        <is>
          <t>Ống thép tráng kẽm DN50</t>
        </is>
      </c>
      <c r="C97" s="120" t="inlineStr">
        <is>
          <t>Lắp đặt PCCC</t>
        </is>
      </c>
      <c r="D97" s="128" t="n">
        <v>570</v>
      </c>
      <c r="E97" s="110" t="n">
        <v>120000</v>
      </c>
      <c r="F97" s="110" t="n">
        <v>100000</v>
      </c>
      <c r="G97" s="110" t="n">
        <v>125400000</v>
      </c>
    </row>
    <row r="98">
      <c r="A98" s="120" t="n">
        <v>3</v>
      </c>
      <c r="B98" s="108" t="inlineStr">
        <is>
          <t>Ống thép tráng kẽm DN80</t>
        </is>
      </c>
      <c r="C98" s="120" t="inlineStr">
        <is>
          <t>Lắp đặt PCCC</t>
        </is>
      </c>
      <c r="D98" s="128" t="n">
        <v>1</v>
      </c>
      <c r="E98" s="110" t="n">
        <v>180000</v>
      </c>
      <c r="F98" s="110" t="n">
        <v>100000</v>
      </c>
      <c r="G98" s="110" t="n">
        <v>280000</v>
      </c>
    </row>
    <row r="99">
      <c r="A99" s="120" t="n">
        <v>4</v>
      </c>
      <c r="B99" s="108" t="inlineStr">
        <is>
          <t>Vật tư phụ lắp đặt</t>
        </is>
      </c>
      <c r="C99" s="120" t="inlineStr">
        <is>
          <t>Vật tư phụ</t>
        </is>
      </c>
      <c r="D99" s="128" t="n">
        <v>1</v>
      </c>
      <c r="E99" s="110" t="n"/>
      <c r="F99" s="110" t="n"/>
      <c r="G99" s="110" t="n">
        <v>5345662</v>
      </c>
    </row>
    <row r="100">
      <c r="A100" s="120" t="n">
        <v>5</v>
      </c>
      <c r="B100" s="108" t="inlineStr">
        <is>
          <t>Vật tư phụ lắp đặt</t>
        </is>
      </c>
      <c r="C100" s="120" t="inlineStr">
        <is>
          <t>Vật tư phụ</t>
        </is>
      </c>
      <c r="D100" s="128" t="n">
        <v>1</v>
      </c>
      <c r="E100" s="110" t="n"/>
      <c r="F100" s="110" t="n"/>
      <c r="G100" s="110" t="n">
        <v>4422065</v>
      </c>
    </row>
    <row r="101">
      <c r="A101" s="120" t="n">
        <v>6</v>
      </c>
      <c r="B101" s="108" t="inlineStr">
        <is>
          <t>Dây nguồn đèn exit sự cố 2x0.75mm</t>
        </is>
      </c>
      <c r="C101" s="120" t="inlineStr">
        <is>
          <t>Lắp đặt PCCC</t>
        </is>
      </c>
      <c r="D101" s="128" t="n">
        <v>1700</v>
      </c>
      <c r="E101" s="110" t="n">
        <v>7500</v>
      </c>
      <c r="F101" s="110" t="n">
        <v>5000</v>
      </c>
      <c r="G101" s="110" t="n">
        <v>21250000</v>
      </c>
    </row>
    <row r="102">
      <c r="A102" s="120" t="n">
        <v>7</v>
      </c>
      <c r="B102" s="108" t="inlineStr">
        <is>
          <t>Ống luồn dây PVC D20</t>
        </is>
      </c>
      <c r="C102" s="120" t="inlineStr">
        <is>
          <t>Lắp đặt PCCC</t>
        </is>
      </c>
      <c r="D102" s="128" t="n">
        <v>4500</v>
      </c>
      <c r="E102" s="110" t="n">
        <v>6000</v>
      </c>
      <c r="F102" s="110" t="n">
        <v>20000</v>
      </c>
      <c r="G102" s="110" t="n">
        <v>117000000</v>
      </c>
    </row>
    <row r="103">
      <c r="A103" s="120" t="n">
        <v>8</v>
      </c>
      <c r="B103" s="108" t="inlineStr">
        <is>
          <t>Cáp tín hiệu 2x2x0,5mm2</t>
        </is>
      </c>
      <c r="C103" s="120" t="inlineStr">
        <is>
          <t>Lắp đặt PCCC</t>
        </is>
      </c>
      <c r="D103" s="128" t="n">
        <v>5000</v>
      </c>
      <c r="E103" s="110" t="n">
        <v>5000</v>
      </c>
      <c r="F103" s="110" t="n">
        <v>5000</v>
      </c>
      <c r="G103" s="110" t="n">
        <v>50000000</v>
      </c>
    </row>
    <row r="104">
      <c r="A104" s="120" t="n">
        <v>9</v>
      </c>
      <c r="B104" s="108" t="inlineStr">
        <is>
          <t>Cáp chống cháy chống nhiễu 2x1.5 mm2</t>
        </is>
      </c>
      <c r="C104" s="120" t="inlineStr">
        <is>
          <t>Lắp đặt PCCC</t>
        </is>
      </c>
      <c r="D104" s="128" t="n">
        <v>130</v>
      </c>
      <c r="E104" s="110" t="n">
        <v>7500</v>
      </c>
      <c r="F104" s="110" t="n">
        <v>5000</v>
      </c>
      <c r="G104" s="110" t="n">
        <v>1625000</v>
      </c>
    </row>
    <row r="105">
      <c r="A105" s="120" t="n">
        <v>10</v>
      </c>
      <c r="B105" s="108" t="inlineStr">
        <is>
          <t>Vật tư phụ</t>
        </is>
      </c>
      <c r="C105" s="120" t="inlineStr">
        <is>
          <t>Vật tư phụ</t>
        </is>
      </c>
      <c r="D105" s="128" t="n">
        <v>1</v>
      </c>
      <c r="E105" s="110" t="n"/>
      <c r="F105" s="110" t="n"/>
      <c r="G105" s="110" t="n">
        <v>7726450</v>
      </c>
    </row>
    <row r="106">
      <c r="A106" s="120" t="n">
        <v>11</v>
      </c>
      <c r="B106" s="108" t="inlineStr">
        <is>
          <t>Vật tư phụ lắp đặt</t>
        </is>
      </c>
      <c r="C106" s="120" t="inlineStr">
        <is>
          <t>Vật tư phụ</t>
        </is>
      </c>
      <c r="D106" s="128" t="n">
        <v>1</v>
      </c>
      <c r="E106" s="110" t="n"/>
      <c r="F106" s="110" t="n"/>
      <c r="G106" s="110" t="n">
        <v>6964392</v>
      </c>
    </row>
    <row r="107">
      <c r="A107" s="120" t="n">
        <v>12</v>
      </c>
      <c r="B107" s="108" t="inlineStr">
        <is>
          <t>Ống nhựa xoắn HDPE 40/30</t>
        </is>
      </c>
      <c r="C107" s="120" t="inlineStr">
        <is>
          <t>Lắp đặt PCCC</t>
        </is>
      </c>
      <c r="D107" s="128" t="n">
        <v>200</v>
      </c>
      <c r="E107" s="110" t="n">
        <v>15000</v>
      </c>
      <c r="F107" s="110" t="n">
        <v>10000</v>
      </c>
      <c r="G107" s="110" t="n">
        <v>5000000</v>
      </c>
    </row>
    <row r="108">
      <c r="A108" s="120" t="n">
        <v>13</v>
      </c>
      <c r="B108" s="108" t="inlineStr">
        <is>
          <t>Vật tư phụ</t>
        </is>
      </c>
      <c r="C108" s="120" t="inlineStr">
        <is>
          <t>Vật tư phụ</t>
        </is>
      </c>
      <c r="D108" s="128" t="n">
        <v>1</v>
      </c>
      <c r="E108" s="110" t="n"/>
      <c r="F108" s="110" t="n"/>
      <c r="G108" s="110" t="n">
        <v>6135550</v>
      </c>
    </row>
    <row r="109">
      <c r="A109" s="120" t="n">
        <v>14</v>
      </c>
      <c r="B109" s="108" t="inlineStr">
        <is>
          <t>Vật tư phụ lắp đặt</t>
        </is>
      </c>
      <c r="C109" s="120" t="inlineStr">
        <is>
          <t>Vật tư phụ</t>
        </is>
      </c>
      <c r="D109" s="128" t="n">
        <v>1</v>
      </c>
      <c r="E109" s="110" t="n"/>
      <c r="F109" s="110" t="n"/>
      <c r="G109" s="110" t="n">
        <v>5017119</v>
      </c>
    </row>
    <row r="110">
      <c r="A110" s="120" t="n">
        <v>15</v>
      </c>
      <c r="B110" s="108" t="inlineStr">
        <is>
          <t>Vật tư phụ lắp đặt</t>
        </is>
      </c>
      <c r="C110" s="120" t="inlineStr">
        <is>
          <t>Vật tư phụ</t>
        </is>
      </c>
      <c r="D110" s="128" t="n">
        <v>1</v>
      </c>
      <c r="E110" s="110" t="n"/>
      <c r="F110" s="110" t="n"/>
      <c r="G110" s="110" t="n">
        <v>4482900</v>
      </c>
    </row>
    <row r="111">
      <c r="A111" s="125" t="n"/>
      <c r="B111" s="125" t="inlineStr">
        <is>
          <t>CỘNG</t>
        </is>
      </c>
      <c r="C111" s="125" t="n"/>
      <c r="D111" s="125" t="n"/>
      <c r="E111" s="125" t="n"/>
      <c r="F111" s="125" t="n"/>
      <c r="G111" s="117">
        <f>SUM(G96:G110)</f>
        <v/>
      </c>
    </row>
  </sheetData>
  <mergeCells count="36">
    <mergeCell ref="B42:D42"/>
    <mergeCell ref="G52:K52"/>
    <mergeCell ref="G43:K43"/>
    <mergeCell ref="B8:D8"/>
    <mergeCell ref="G42:K42"/>
    <mergeCell ref="B44:D44"/>
    <mergeCell ref="G39:K39"/>
    <mergeCell ref="B38:D38"/>
    <mergeCell ref="G48:K48"/>
    <mergeCell ref="B37:D37"/>
    <mergeCell ref="G38:K38"/>
    <mergeCell ref="B40:D40"/>
    <mergeCell ref="G37:K37"/>
    <mergeCell ref="B6:D6"/>
    <mergeCell ref="B51:D51"/>
    <mergeCell ref="B5:D5"/>
    <mergeCell ref="B45:D45"/>
    <mergeCell ref="B41:D41"/>
    <mergeCell ref="B4:D4"/>
    <mergeCell ref="B50:D50"/>
    <mergeCell ref="G45:K45"/>
    <mergeCell ref="B7:D7"/>
    <mergeCell ref="B47:D47"/>
    <mergeCell ref="G51:K51"/>
    <mergeCell ref="B46:D46"/>
    <mergeCell ref="G47:K47"/>
    <mergeCell ref="G46:K46"/>
    <mergeCell ref="G50:K50"/>
    <mergeCell ref="G44:K44"/>
    <mergeCell ref="G41:K41"/>
    <mergeCell ref="B52:D52"/>
    <mergeCell ref="B43:D43"/>
    <mergeCell ref="B39:D39"/>
    <mergeCell ref="G40:K40"/>
    <mergeCell ref="B48:D48"/>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2015-06-05T18:17:20Z</dcterms:created>
  <dcterms:modified xmlns:dcterms="http://purl.org/dc/terms/" xmlns:xsi="http://www.w3.org/2001/XMLSchema-instance" xsi:type="dcterms:W3CDTF">2026-10-31T06:43:53Z</dcterms:modified>
  <cp:lastModifiedBy>LINH</cp:lastModifiedBy>
  <cp:lastPrinted>2026-10-13T04:31:23Z</cp:lastPrinted>
</cp:coreProperties>
</file>