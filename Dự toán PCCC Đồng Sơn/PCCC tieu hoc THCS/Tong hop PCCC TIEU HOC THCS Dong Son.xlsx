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neDrive\KHANH LINH\Work Khac\2026\PCCC Dong Son\PCCC tieu hoc THCS\"/>
    </mc:Choice>
  </mc:AlternateContent>
  <bookViews>
    <workbookView xWindow="-105" yWindow="-105" windowWidth="19425" windowHeight="10425"/>
  </bookViews>
  <sheets>
    <sheet name="TH" sheetId="2" r:id="rId1"/>
    <sheet name="tb" sheetId="4" r:id="rId2"/>
    <sheet name="Bao gia" sheetId="5" r:id="rId3"/>
  </sheets>
  <externalReferences>
    <externalReference r:id="rId4"/>
  </externalReferences>
  <calcPr calcId="15251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A24" i="5" l="1"/>
  <c r="A25" i="5"/>
  <c r="D34" i="5"/>
  <c r="D40" i="5"/>
  <c r="D36" i="5"/>
  <c r="D35" i="5"/>
  <c r="F6" i="2" l="1"/>
  <c r="G6" i="2" s="1"/>
  <c r="E5" i="2"/>
  <c r="F32" i="5" l="1"/>
  <c r="G32" i="5" s="1"/>
  <c r="F41" i="5"/>
  <c r="G41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" i="5"/>
  <c r="G4" i="5" s="1"/>
  <c r="I5" i="4"/>
  <c r="I7" i="4"/>
  <c r="I6" i="4"/>
  <c r="I8" i="4"/>
  <c r="K8" i="4"/>
  <c r="F9" i="2" l="1"/>
  <c r="G9" i="2" s="1"/>
  <c r="F11" i="2"/>
  <c r="G11" i="2" s="1"/>
  <c r="F10" i="2"/>
  <c r="G10" i="2" s="1"/>
  <c r="F8" i="2"/>
  <c r="G8" i="2" s="1"/>
  <c r="F7" i="2"/>
  <c r="G7" i="2" s="1"/>
  <c r="F5" i="2"/>
  <c r="G5" i="2" s="1"/>
  <c r="D11" i="2"/>
  <c r="B23" i="5" l="1"/>
  <c r="A5" i="5" l="1"/>
  <c r="A6" i="5" s="1"/>
  <c r="A7" i="5" s="1"/>
  <c r="A8" i="5" s="1"/>
  <c r="L8" i="4" l="1"/>
  <c r="A9" i="5"/>
  <c r="A10" i="5" s="1"/>
  <c r="A11" i="5" s="1"/>
  <c r="A12" i="5" s="1"/>
  <c r="A13" i="5" s="1"/>
  <c r="A14" i="5" s="1"/>
  <c r="A15" i="5" s="1"/>
  <c r="A16" i="5" s="1"/>
  <c r="A17" i="5" s="1"/>
  <c r="A2" i="5"/>
  <c r="A2" i="4"/>
  <c r="A18" i="5" l="1"/>
  <c r="A19" i="5" s="1"/>
  <c r="A20" i="5" s="1"/>
  <c r="A21" i="5" s="1"/>
  <c r="E19" i="2"/>
  <c r="E18" i="2"/>
  <c r="A22" i="5" l="1"/>
  <c r="A23" i="5" s="1"/>
  <c r="A26" i="5" s="1"/>
  <c r="A27" i="5" s="1"/>
  <c r="A28" i="5" s="1"/>
  <c r="A29" i="5" s="1"/>
  <c r="A30" i="5" s="1"/>
  <c r="E12" i="2"/>
  <c r="E4" i="2" s="1"/>
  <c r="F12" i="2" l="1"/>
  <c r="G12" i="2" s="1"/>
  <c r="A31" i="5" l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M26" i="2"/>
  <c r="F24" i="2"/>
  <c r="F18" i="2"/>
  <c r="K7" i="4"/>
  <c r="L7" i="4" s="1"/>
  <c r="K6" i="4"/>
  <c r="L6" i="4" s="1"/>
  <c r="K5" i="4"/>
  <c r="L5" i="4" s="1"/>
  <c r="L4" i="4" l="1"/>
  <c r="G13" i="2" s="1"/>
  <c r="E13" i="2" s="1"/>
  <c r="D13" i="2"/>
  <c r="F23" i="2" l="1"/>
  <c r="F21" i="2"/>
  <c r="G21" i="2" s="1"/>
  <c r="E14" i="2"/>
  <c r="F22" i="2"/>
  <c r="F13" i="2"/>
  <c r="F25" i="2"/>
  <c r="L21" i="2"/>
  <c r="M21" i="2" s="1"/>
  <c r="E20" i="2"/>
  <c r="F20" i="2" s="1"/>
  <c r="E17" i="2" l="1"/>
  <c r="F17" i="2" s="1"/>
  <c r="F4" i="2"/>
  <c r="G4" i="2" s="1"/>
  <c r="E16" i="2"/>
  <c r="F16" i="2" s="1"/>
  <c r="G29" i="2" l="1"/>
  <c r="I29" i="2"/>
  <c r="G28" i="2"/>
  <c r="G14" i="2" l="1"/>
  <c r="G23" i="2"/>
  <c r="G24" i="2"/>
  <c r="G18" i="2"/>
  <c r="G25" i="2"/>
  <c r="F27" i="2"/>
  <c r="G27" i="2" s="1"/>
  <c r="E26" i="2"/>
  <c r="F19" i="2" l="1"/>
  <c r="F15" i="2" s="1"/>
  <c r="G22" i="2"/>
  <c r="G26" i="2"/>
  <c r="F26" i="2"/>
  <c r="G19" i="2" l="1"/>
  <c r="G17" i="2"/>
  <c r="E15" i="2"/>
  <c r="G15" i="2" l="1"/>
  <c r="G30" i="2" s="1"/>
  <c r="I30" i="2" l="1"/>
  <c r="K30" i="2"/>
  <c r="G31" i="2" l="1"/>
  <c r="G32" i="2" s="1"/>
  <c r="L30" i="2"/>
</calcChain>
</file>

<file path=xl/sharedStrings.xml><?xml version="1.0" encoding="utf-8"?>
<sst xmlns="http://schemas.openxmlformats.org/spreadsheetml/2006/main" count="229" uniqueCount="167">
  <si>
    <t>STT</t>
  </si>
  <si>
    <t>I</t>
  </si>
  <si>
    <t>II</t>
  </si>
  <si>
    <t>BẢNG TỔNG DỰ TOÁN</t>
  </si>
  <si>
    <t>Khoản mục chi phí</t>
  </si>
  <si>
    <t>Ký hiệu</t>
  </si>
  <si>
    <t>Cách tính</t>
  </si>
  <si>
    <t>Giá trị trước thuế</t>
  </si>
  <si>
    <t>Thuế VAT (8%)</t>
  </si>
  <si>
    <t>Giá trị sau thuế</t>
  </si>
  <si>
    <t>Chi phí xây lắp</t>
  </si>
  <si>
    <t>GXD</t>
  </si>
  <si>
    <t>Chi phí QLDA</t>
  </si>
  <si>
    <t>QL</t>
  </si>
  <si>
    <t>IV</t>
  </si>
  <si>
    <t>Chi phí tư vấn đầu tư xây dựng:</t>
  </si>
  <si>
    <t>GTV</t>
  </si>
  <si>
    <t>5.1</t>
  </si>
  <si>
    <t>TV1</t>
  </si>
  <si>
    <t>5.2</t>
  </si>
  <si>
    <t>TV2</t>
  </si>
  <si>
    <t>5.3</t>
  </si>
  <si>
    <t>TV3</t>
  </si>
  <si>
    <t>5.4</t>
  </si>
  <si>
    <t>TV4</t>
  </si>
  <si>
    <t>5.5</t>
  </si>
  <si>
    <t>TV5</t>
  </si>
  <si>
    <t>5.6</t>
  </si>
  <si>
    <t>TV6</t>
  </si>
  <si>
    <t>Chi phí khác</t>
  </si>
  <si>
    <t>GK</t>
  </si>
  <si>
    <t>CK1+CK2</t>
  </si>
  <si>
    <t>6.1</t>
  </si>
  <si>
    <t>CK1</t>
  </si>
  <si>
    <t>6.2</t>
  </si>
  <si>
    <t>Phí thẩm định báo cáo kinh tế kỹ thuật</t>
  </si>
  <si>
    <t>CK2</t>
  </si>
  <si>
    <t>0,019%*TMĐT(tối thiểu 500.000đ)</t>
  </si>
  <si>
    <t>V</t>
  </si>
  <si>
    <t>Chi phí dự phòng</t>
  </si>
  <si>
    <t>GDP</t>
  </si>
  <si>
    <t>VTM</t>
  </si>
  <si>
    <t>Người lập +Chủ trì</t>
  </si>
  <si>
    <t>Thành tiền</t>
  </si>
  <si>
    <t>Chi phí bảo hiểm công trình</t>
  </si>
  <si>
    <t>5.7</t>
  </si>
  <si>
    <t>5.8</t>
  </si>
  <si>
    <t>Đơn vị</t>
  </si>
  <si>
    <t>0.08%*G</t>
  </si>
  <si>
    <t>TV7</t>
  </si>
  <si>
    <t>TV8</t>
  </si>
  <si>
    <t>TV9</t>
  </si>
  <si>
    <t>Giá trị dự toán</t>
  </si>
  <si>
    <t>Làm tròn</t>
  </si>
  <si>
    <t>Có dự toán chi tiết</t>
  </si>
  <si>
    <t>5.9</t>
  </si>
  <si>
    <t>Chi phí thẩm định giá</t>
  </si>
  <si>
    <t>Chi phí thiết bị</t>
  </si>
  <si>
    <t>Quảng Bình, ngày   tháng     năm 2026</t>
  </si>
  <si>
    <t>Tên thiết bị</t>
  </si>
  <si>
    <t>Thiết bị</t>
  </si>
  <si>
    <t>Đơn giá trước thế</t>
  </si>
  <si>
    <t>Đơn giá sau thế</t>
  </si>
  <si>
    <t>BẢNG TỔNG HỢP THIẾT BỊ</t>
  </si>
  <si>
    <t>Chi phí lập hồ sơ mời thầu (VB 9947/BXD-VPB ngày 29/6/2026)</t>
  </si>
  <si>
    <t>Chi phí đánh giá hồ sơ dự thầu  (VB 9947/BXD-VPB ngày 29/6/2026)</t>
  </si>
  <si>
    <t>Chi phí thẩm tra thiết kế bản vẽ thi công (VB 9947/BXD-VPB ngày 29/6/2026)</t>
  </si>
  <si>
    <t>Chi phí thẩm tra dự toán (VB 9947/BXD-VPB ngày 29/6/2026)</t>
  </si>
  <si>
    <t>Chi phí giám sát thi công (VB 9947/BXD-VPB ngày 29/6/2026)</t>
  </si>
  <si>
    <t>Gtb</t>
  </si>
  <si>
    <t>0.1%*(Gxd+Gtb) (tối thiểu 2.000.000đ)</t>
  </si>
  <si>
    <t>Chi phí lập báo cáo kinh tế kỹ thuật (VB 9947/BXD-VPB ngày 29/6/2026)</t>
  </si>
  <si>
    <t>Phí thẩm định hồ sơ mời thầu (NĐ 214/2025/NĐ-CP ngày 04/8/2025)</t>
  </si>
  <si>
    <t>Phí thẩm định kết quả lựa chọn nhà thầu (NĐ 214/2025/NĐ-CP ngày 04/8/2025)</t>
  </si>
  <si>
    <t>Bỏ chi phí này theo điểm b khoản 1 điều 81 Nghị định 214/2025</t>
  </si>
  <si>
    <t>Nội suy theo điểm c khoản 1 Điều 20 nghị định 139/2026</t>
  </si>
  <si>
    <t>Kiểm tra lại công trình hạ tầng kỹ thuật có chi phí bảo hiểm không</t>
  </si>
  <si>
    <t>VI</t>
  </si>
  <si>
    <t>I-VI</t>
  </si>
  <si>
    <t>Chi phí thẩm tra phê duyệt quyết toán (Nghị định 193/2026/NĐ-CP ngày 01/6/2026)</t>
  </si>
  <si>
    <t>1.1</t>
  </si>
  <si>
    <t>1.2</t>
  </si>
  <si>
    <t xml:space="preserve">Chi phí xây dựng của công trình </t>
  </si>
  <si>
    <t>Chi phí nhà tạm để ở và điều hành thi công</t>
  </si>
  <si>
    <t>Glt</t>
  </si>
  <si>
    <t>G1+G2</t>
  </si>
  <si>
    <t>Gxdct</t>
  </si>
  <si>
    <t>0.1%*(GXD+Gtb) (tối thiểu 3.000.000đ)</t>
  </si>
  <si>
    <t>Chi phí đo vẽ hiện trạng</t>
  </si>
  <si>
    <t>(G+TB)*3,446%</t>
  </si>
  <si>
    <t>0,258%*Gxdct</t>
  </si>
  <si>
    <t>0,25%*Gxdct</t>
  </si>
  <si>
    <t>Tạm tính</t>
  </si>
  <si>
    <t>(GXD+Gtb)*0,432%*45%</t>
  </si>
  <si>
    <t>(GXD+Gtb)*0,432%*55%</t>
  </si>
  <si>
    <t>3,285%*Gxdct+0,844%*Gtb</t>
  </si>
  <si>
    <t>0,57%*TM</t>
  </si>
  <si>
    <t>5%*(GXD+Gtb+QL+GTV+GK)</t>
  </si>
  <si>
    <t>Trung tâm báo cháy 8 kênh bao gồm Acquy</t>
  </si>
  <si>
    <t>Còi đèn báo cháy kết hợp</t>
  </si>
  <si>
    <t>Nút ấn khẩn tròn lắp nổi</t>
  </si>
  <si>
    <t>Đầu báo khói quang 24VDC</t>
  </si>
  <si>
    <t>Đèn báo phòng</t>
  </si>
  <si>
    <t>Đầu báo nhiệt cố định 70 độ C</t>
  </si>
  <si>
    <t>Cọc tiếp địa mạ đồng D16 L=2,4m</t>
  </si>
  <si>
    <t>cái</t>
  </si>
  <si>
    <t>Tổng số lượng</t>
  </si>
  <si>
    <t>Co thép đen hàn DN65</t>
  </si>
  <si>
    <t>Co thép đen hàn DN50</t>
  </si>
  <si>
    <t>Tê thép đen hàn DN65</t>
  </si>
  <si>
    <t>Tê thép hàn tráng kẽm DN50</t>
  </si>
  <si>
    <t>Mặt bích thép đen DN65 + bulong + roăng su</t>
  </si>
  <si>
    <t>Đồng hồ áp xuất kèm xi phông, van khóa và socket</t>
  </si>
  <si>
    <t>Rơ le kiểm tra mực nước</t>
  </si>
  <si>
    <t>Tủ điều khiển máy bơm</t>
  </si>
  <si>
    <t>Máy bơm chữa cháy động cơ điện Q: 45m3/h - H: 40m.c.n</t>
  </si>
  <si>
    <t>Máy bơm chữa cháy động cơ nhiên liệu Q: 45m3/h - H: 40m.c.n</t>
  </si>
  <si>
    <t>Tủ chữa cháy KT: 400x600x200mm, tole dày 0,8mm, sơn tĩnh điện màu đỏ</t>
  </si>
  <si>
    <t>Cuộn vòi chữa cháy Ø50 - L = 20m + lăng phun</t>
  </si>
  <si>
    <t>Van góc FUJI DN50</t>
  </si>
  <si>
    <t>Bộ nội quy tiêu lệnh chữa cháy - Chất liệu bằng tôn</t>
  </si>
  <si>
    <t>Kệ đỡ bình chữa cháy</t>
  </si>
  <si>
    <t>BÌNH BỘT ABC 8KG</t>
  </si>
  <si>
    <t>Đèn báo trạm bơm</t>
  </si>
  <si>
    <t>Sơ đồ chỉ dẫn thoát hiểm 400x600</t>
  </si>
  <si>
    <t>CÔNG TRÌNH: HỆ THỐNG PHÒNG CHÁY CHỮA CHÁY CÁC TRƯỜNG MẦM NON TRÊN ĐỊA BÀN PHƯỜNG ĐỒNG SƠN</t>
  </si>
  <si>
    <t>1.1.1</t>
  </si>
  <si>
    <t>1.1.2</t>
  </si>
  <si>
    <t>1.1.3</t>
  </si>
  <si>
    <t>Gxdct1</t>
  </si>
  <si>
    <t>Gxdct2</t>
  </si>
  <si>
    <t>Gxdct3</t>
  </si>
  <si>
    <t>Trung tâm báo cháy 5 kênh bao gồm Acquy</t>
  </si>
  <si>
    <t>Đèn chiếu sáng sự cố</t>
  </si>
  <si>
    <t>Trường THCS Bắc Nghĩa</t>
  </si>
  <si>
    <t>Trung tâm báo cháy 10 kênh bao gồm Acquy</t>
  </si>
  <si>
    <t>Tê giảm thép đen hàn DN65</t>
  </si>
  <si>
    <t>Đèn exit</t>
  </si>
  <si>
    <t>Trường THCS số 1 Đồng Sơn</t>
  </si>
  <si>
    <t>Trường tiểu học Nghĩa Ninh</t>
  </si>
  <si>
    <t>Trường tiểu học số 1 Đồng Sơn</t>
  </si>
  <si>
    <t>Tê giảm thép hàn DN100/65</t>
  </si>
  <si>
    <t>Tê giảm thép hàn DN65/50</t>
  </si>
  <si>
    <t>Côn giảm thép hàn DN80/65</t>
  </si>
  <si>
    <t>Mặt bích thép DN80</t>
  </si>
  <si>
    <t>Roăng su DN80</t>
  </si>
  <si>
    <t>1.1.4</t>
  </si>
  <si>
    <t>Gxdct4</t>
  </si>
  <si>
    <t>Gxdct1+...+Gxdct4</t>
  </si>
  <si>
    <t>1,1%*Gxdct</t>
  </si>
  <si>
    <t>Trường tiểu học số 2 Đồng Sơn</t>
  </si>
  <si>
    <t>Họng tiếp nước ngoài nhà 2 cửa- ngàm nhôm</t>
  </si>
  <si>
    <t>Lăng phun DN50</t>
  </si>
  <si>
    <t>1.1.5</t>
  </si>
  <si>
    <t>1.1.6</t>
  </si>
  <si>
    <t>PCCC</t>
  </si>
  <si>
    <t>Gxdct5</t>
  </si>
  <si>
    <t>Gxdct6</t>
  </si>
  <si>
    <t>Xây lắp Trường tiểu học Nghĩa Ninh</t>
  </si>
  <si>
    <t>Xây lắp Trường tiểu học số 1 Đồng Sơn</t>
  </si>
  <si>
    <t>Xây lắp Trường THCS số 1 Đồng Sơn</t>
  </si>
  <si>
    <t>Xây lắp Trường tiểu học số 2 Đồng Sơn</t>
  </si>
  <si>
    <t>Xây lắp Trường THCS Bắc Nghĩa</t>
  </si>
  <si>
    <t>Khối lượng</t>
  </si>
  <si>
    <t>Thành tiền sau thế</t>
  </si>
  <si>
    <t>5,933%*Gxdct</t>
  </si>
  <si>
    <t>TV1+TV2+...+TV5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</si>
</sst>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00"/>
    <numFmt numFmtId="167" formatCode="_(* #,##0_);_(* \(#,##0\);_(* &quot;-&quot;?_);_(@_)"/>
  </numFmts>
  <fonts count="3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name val=".VnTimeH"/>
      <family val="2"/>
    </font>
    <font>
      <i/>
      <sz val="13"/>
      <name val="Times New Roman"/>
      <family val="1"/>
    </font>
    <font>
      <i/>
      <sz val="13"/>
      <color theme="1"/>
      <name val="Times New Roman"/>
      <family val="1"/>
    </font>
    <font>
      <b/>
      <sz val="13"/>
      <name val=".VnTime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.VnTime"/>
      <family val="2"/>
    </font>
    <font>
      <b/>
      <sz val="12"/>
      <name val="Tiimes"/>
    </font>
    <font>
      <b/>
      <sz val="12"/>
      <name val="Ttmẻ"/>
    </font>
    <font>
      <b/>
      <i/>
      <sz val="12"/>
      <name val=".VnTime"/>
      <family val="2"/>
    </font>
    <font>
      <b/>
      <i/>
      <sz val="13"/>
      <name val=".VnTime"/>
      <family val="2"/>
    </font>
    <font>
      <sz val="11"/>
      <name val=".VnTime"/>
      <family val="2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3"/>
      <color indexed="8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9">
    <xf numFmtId="0" fontId="0" fillId="0" borderId="0" xfId="0"/>
    <xf numFmtId="3" fontId="6" fillId="2" borderId="5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vertical="center"/>
    </xf>
    <xf numFmtId="164" fontId="9" fillId="2" borderId="8" xfId="2" applyNumberFormat="1" applyFont="1" applyFill="1" applyBorder="1" applyAlignment="1">
      <alignment vertical="center" wrapText="1"/>
    </xf>
    <xf numFmtId="165" fontId="11" fillId="0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vertical="center"/>
    </xf>
    <xf numFmtId="164" fontId="13" fillId="2" borderId="0" xfId="2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>
      <alignment vertical="center"/>
    </xf>
    <xf numFmtId="165" fontId="15" fillId="0" borderId="0" xfId="2" applyNumberFormat="1" applyFont="1" applyFill="1" applyBorder="1" applyAlignment="1">
      <alignment horizontal="center" vertical="center"/>
    </xf>
    <xf numFmtId="165" fontId="15" fillId="0" borderId="0" xfId="2" applyNumberFormat="1" applyFont="1" applyFill="1" applyBorder="1" applyAlignment="1">
      <alignment vertical="center"/>
    </xf>
    <xf numFmtId="10" fontId="16" fillId="0" borderId="0" xfId="2" applyNumberFormat="1" applyFont="1" applyFill="1" applyBorder="1" applyAlignment="1">
      <alignment horizontal="center" vertical="center"/>
    </xf>
    <xf numFmtId="164" fontId="5" fillId="2" borderId="0" xfId="2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center" vertical="center"/>
    </xf>
    <xf numFmtId="165" fontId="15" fillId="2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/>
    </xf>
    <xf numFmtId="10" fontId="5" fillId="0" borderId="0" xfId="2" applyNumberFormat="1" applyFont="1" applyFill="1" applyBorder="1" applyAlignment="1">
      <alignment horizontal="center" vertical="center"/>
    </xf>
    <xf numFmtId="10" fontId="17" fillId="0" borderId="0" xfId="2" applyNumberFormat="1" applyFont="1" applyFill="1" applyBorder="1" applyAlignment="1">
      <alignment horizontal="center" vertical="center"/>
    </xf>
    <xf numFmtId="165" fontId="18" fillId="0" borderId="0" xfId="2" applyNumberFormat="1" applyFont="1" applyFill="1" applyBorder="1" applyAlignment="1">
      <alignment horizontal="center" vertical="center"/>
    </xf>
    <xf numFmtId="164" fontId="19" fillId="0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/>
    <xf numFmtId="167" fontId="1" fillId="0" borderId="1" xfId="0" applyNumberFormat="1" applyFont="1" applyBorder="1"/>
    <xf numFmtId="3" fontId="4" fillId="2" borderId="5" xfId="0" applyNumberFormat="1" applyFont="1" applyFill="1" applyBorder="1" applyAlignment="1">
      <alignment horizontal="right" vertical="center"/>
    </xf>
    <xf numFmtId="0" fontId="21" fillId="0" borderId="0" xfId="0" applyFont="1"/>
    <xf numFmtId="4" fontId="21" fillId="0" borderId="0" xfId="0" applyNumberFormat="1" applyFont="1"/>
    <xf numFmtId="166" fontId="21" fillId="0" borderId="0" xfId="0" applyNumberFormat="1" applyFont="1"/>
    <xf numFmtId="3" fontId="0" fillId="0" borderId="0" xfId="0" applyNumberFormat="1"/>
    <xf numFmtId="0" fontId="22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left" vertical="center"/>
    </xf>
    <xf numFmtId="2" fontId="22" fillId="2" borderId="1" xfId="0" applyNumberFormat="1" applyFont="1" applyFill="1" applyBorder="1" applyAlignment="1">
      <alignment horizontal="center" vertical="center"/>
    </xf>
    <xf numFmtId="2" fontId="22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3" fontId="23" fillId="2" borderId="5" xfId="0" applyNumberFormat="1" applyFont="1" applyFill="1" applyBorder="1" applyAlignment="1">
      <alignment horizontal="right" vertical="center"/>
    </xf>
    <xf numFmtId="0" fontId="23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23" fillId="2" borderId="6" xfId="0" applyFont="1" applyFill="1" applyBorder="1" applyAlignment="1">
      <alignment horizontal="center" vertical="center"/>
    </xf>
    <xf numFmtId="3" fontId="23" fillId="2" borderId="6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3" fontId="23" fillId="2" borderId="1" xfId="0" applyNumberFormat="1" applyFont="1" applyFill="1" applyBorder="1" applyAlignment="1">
      <alignment horizontal="right" vertical="center"/>
    </xf>
    <xf numFmtId="9" fontId="22" fillId="2" borderId="1" xfId="2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vertical="center"/>
    </xf>
    <xf numFmtId="3" fontId="24" fillId="2" borderId="5" xfId="0" applyNumberFormat="1" applyFont="1" applyFill="1" applyBorder="1" applyAlignment="1">
      <alignment horizontal="right" vertical="center"/>
    </xf>
    <xf numFmtId="10" fontId="0" fillId="2" borderId="0" xfId="3" applyNumberFormat="1" applyFont="1" applyFill="1"/>
    <xf numFmtId="0" fontId="22" fillId="2" borderId="1" xfId="0" applyFont="1" applyFill="1" applyBorder="1" applyAlignment="1">
      <alignment vertical="center" wrapText="1"/>
    </xf>
    <xf numFmtId="0" fontId="23" fillId="2" borderId="6" xfId="0" applyFont="1" applyFill="1" applyBorder="1" applyAlignment="1">
      <alignment vertical="center" wrapText="1"/>
    </xf>
    <xf numFmtId="3" fontId="22" fillId="2" borderId="6" xfId="0" applyNumberFormat="1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left" vertical="center" wrapText="1"/>
    </xf>
    <xf numFmtId="9" fontId="22" fillId="2" borderId="7" xfId="2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2" borderId="1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wrapText="1"/>
    </xf>
    <xf numFmtId="0" fontId="27" fillId="0" borderId="0" xfId="0" applyFont="1"/>
    <xf numFmtId="0" fontId="2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8" fillId="2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8" fillId="2" borderId="0" xfId="0" applyFont="1" applyFill="1"/>
    <xf numFmtId="0" fontId="28" fillId="0" borderId="0" xfId="0" applyFont="1"/>
    <xf numFmtId="9" fontId="24" fillId="2" borderId="6" xfId="2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vertical="center" wrapText="1"/>
    </xf>
    <xf numFmtId="9" fontId="23" fillId="2" borderId="10" xfId="2" applyNumberFormat="1" applyFont="1" applyFill="1" applyBorder="1" applyAlignment="1">
      <alignment horizontal="center" vertical="center"/>
    </xf>
    <xf numFmtId="2" fontId="23" fillId="2" borderId="10" xfId="0" applyNumberFormat="1" applyFont="1" applyFill="1" applyBorder="1" applyAlignment="1">
      <alignment horizontal="center" vertical="center"/>
    </xf>
    <xf numFmtId="3" fontId="23" fillId="2" borderId="10" xfId="0" applyNumberFormat="1" applyFont="1" applyFill="1" applyBorder="1" applyAlignment="1">
      <alignment horizontal="right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vertical="center" wrapText="1"/>
    </xf>
    <xf numFmtId="9" fontId="23" fillId="2" borderId="7" xfId="2" applyNumberFormat="1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right" vertical="center"/>
    </xf>
    <xf numFmtId="0" fontId="24" fillId="2" borderId="6" xfId="0" applyFont="1" applyFill="1" applyBorder="1" applyAlignment="1">
      <alignment horizontal="center" vertical="center"/>
    </xf>
    <xf numFmtId="3" fontId="24" fillId="2" borderId="6" xfId="0" applyNumberFormat="1" applyFont="1" applyFill="1" applyBorder="1" applyAlignment="1">
      <alignment horizontal="right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vertical="center" wrapText="1"/>
    </xf>
    <xf numFmtId="9" fontId="24" fillId="2" borderId="5" xfId="2" applyNumberFormat="1" applyFont="1" applyFill="1" applyBorder="1" applyAlignment="1">
      <alignment horizontal="center" vertical="center"/>
    </xf>
    <xf numFmtId="2" fontId="24" fillId="2" borderId="5" xfId="0" applyNumberFormat="1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vertical="center" wrapText="1"/>
    </xf>
    <xf numFmtId="2" fontId="24" fillId="2" borderId="9" xfId="0" applyNumberFormat="1" applyFont="1" applyFill="1" applyBorder="1" applyAlignment="1">
      <alignment horizontal="center" vertical="center"/>
    </xf>
    <xf numFmtId="3" fontId="24" fillId="2" borderId="9" xfId="0" applyNumberFormat="1" applyFont="1" applyFill="1" applyBorder="1" applyAlignment="1">
      <alignment horizontal="right" vertical="center"/>
    </xf>
    <xf numFmtId="0" fontId="24" fillId="2" borderId="7" xfId="0" applyFont="1" applyFill="1" applyBorder="1" applyAlignment="1">
      <alignment vertical="center" wrapText="1"/>
    </xf>
    <xf numFmtId="2" fontId="24" fillId="2" borderId="7" xfId="0" applyNumberFormat="1" applyFont="1" applyFill="1" applyBorder="1" applyAlignment="1">
      <alignment horizontal="center" vertical="center"/>
    </xf>
    <xf numFmtId="3" fontId="24" fillId="2" borderId="7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7" fillId="2" borderId="0" xfId="0" applyFont="1" applyFill="1" applyAlignment="1">
      <alignment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26" fillId="2" borderId="1" xfId="1" applyNumberFormat="1" applyFont="1" applyFill="1" applyBorder="1" applyAlignment="1">
      <alignment vertical="center" wrapText="1"/>
    </xf>
    <xf numFmtId="165" fontId="27" fillId="2" borderId="0" xfId="1" applyNumberFormat="1" applyFont="1" applyFill="1"/>
    <xf numFmtId="165" fontId="26" fillId="2" borderId="1" xfId="0" applyNumberFormat="1" applyFont="1" applyFill="1" applyBorder="1" applyAlignment="1">
      <alignment vertical="center" wrapText="1"/>
    </xf>
    <xf numFmtId="165" fontId="1" fillId="0" borderId="1" xfId="1" applyNumberFormat="1" applyFont="1" applyBorder="1" applyAlignment="1">
      <alignment vertical="center"/>
    </xf>
    <xf numFmtId="0" fontId="24" fillId="2" borderId="10" xfId="0" applyFont="1" applyFill="1" applyBorder="1" applyAlignment="1">
      <alignment vertical="center" wrapText="1"/>
    </xf>
    <xf numFmtId="0" fontId="24" fillId="2" borderId="10" xfId="0" applyFont="1" applyFill="1" applyBorder="1" applyAlignment="1">
      <alignment horizontal="center" vertical="center"/>
    </xf>
    <xf numFmtId="9" fontId="24" fillId="2" borderId="10" xfId="2" applyNumberFormat="1" applyFont="1" applyFill="1" applyBorder="1" applyAlignment="1">
      <alignment horizontal="center" vertical="center"/>
    </xf>
    <xf numFmtId="2" fontId="24" fillId="2" borderId="10" xfId="0" applyNumberFormat="1" applyFont="1" applyFill="1" applyBorder="1" applyAlignment="1">
      <alignment horizontal="center" vertical="center"/>
    </xf>
    <xf numFmtId="3" fontId="24" fillId="2" borderId="10" xfId="0" applyNumberFormat="1" applyFont="1" applyFill="1" applyBorder="1" applyAlignment="1">
      <alignment horizontal="righ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vertical="center" wrapText="1"/>
    </xf>
    <xf numFmtId="9" fontId="24" fillId="2" borderId="4" xfId="2" applyNumberFormat="1" applyFont="1" applyFill="1" applyBorder="1" applyAlignment="1">
      <alignment horizontal="center" vertical="center"/>
    </xf>
    <xf numFmtId="2" fontId="24" fillId="2" borderId="4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right" vertical="center"/>
    </xf>
    <xf numFmtId="164" fontId="8" fillId="0" borderId="0" xfId="2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 wrapText="1"/>
    </xf>
    <xf numFmtId="164" fontId="19" fillId="0" borderId="0" xfId="2" applyNumberFormat="1" applyFont="1" applyFill="1" applyBorder="1" applyAlignment="1">
      <alignment horizontal="center" vertical="center"/>
    </xf>
    <xf numFmtId="165" fontId="5" fillId="0" borderId="0" xfId="2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4">
    <cellStyle name="Comma" xfId="1" builtinId="3"/>
    <cellStyle name="Comma 2" xfId="2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PCCC%20Dong%20Son\T&#7892;NG%20H&#7906;P%20PCCC%20PH&#431;&#7900;NG%20&#272;&#7890;NG%20S&#416;N\002.%20PCCC%20TH,%20THCS%20ph&#432;&#7901;ng%20&#272;&#7891;ng%20S&#417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DT"/>
      <sheetName val="Chi phí pccc"/>
      <sheetName val="TỔNG HỢP"/>
      <sheetName val="ĐƠN GIÁ"/>
      <sheetName val="01 TH số 1 Đồng Sơn"/>
      <sheetName val="02 TH số 2 Đồng Sơn"/>
      <sheetName val="03 THCS số 1 Đồng Sơn"/>
      <sheetName val="04 TH Nghĩa Ninh"/>
      <sheetName val="05 THCS Bắc Nghĩa"/>
    </sheetNames>
    <sheetDataSet>
      <sheetData sheetId="0" refreshError="1"/>
      <sheetData sheetId="1" refreshError="1"/>
      <sheetData sheetId="2" refreshError="1"/>
      <sheetData sheetId="3" refreshError="1">
        <row r="53">
          <cell r="B53" t="str">
            <v>Van 1 chiều DN80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7" zoomScaleNormal="100" workbookViewId="0">
      <selection activeCell="E15" sqref="E15"/>
    </sheetView>
  </sheetViews>
  <sheetFormatPr defaultRowHeight="15"/>
  <cols>
    <col min="1" max="1" width="5.7109375" style="24" customWidth="1"/>
    <col min="2" max="2" width="36.5703125" style="24" customWidth="1"/>
    <col min="3" max="3" width="9.5703125" style="25" customWidth="1"/>
    <col min="4" max="4" width="27.42578125" style="25" customWidth="1"/>
    <col min="5" max="5" width="18" style="24" customWidth="1"/>
    <col min="6" max="6" width="17.7109375" style="24" customWidth="1"/>
    <col min="7" max="7" width="16.7109375" style="24" customWidth="1"/>
    <col min="8" max="8" width="24" customWidth="1"/>
    <col min="9" max="9" width="14.85546875" customWidth="1"/>
    <col min="11" max="11" width="12.5703125" customWidth="1"/>
    <col min="12" max="12" width="10.140625" bestFit="1" customWidth="1"/>
    <col min="15" max="15" width="11.28515625" bestFit="1" customWidth="1"/>
  </cols>
  <sheetData>
    <row r="1" spans="1:9" ht="18.75">
      <c r="A1" s="129" t="s">
        <v>3</v>
      </c>
      <c r="B1" s="129"/>
      <c r="C1" s="129"/>
      <c r="D1" s="129"/>
      <c r="E1" s="129"/>
      <c r="F1" s="129"/>
      <c r="G1" s="129"/>
      <c r="H1" s="26"/>
      <c r="I1" s="26"/>
    </row>
    <row r="2" spans="1:9" ht="39.75" customHeight="1">
      <c r="A2" s="130" t="s">
        <v>125</v>
      </c>
      <c r="B2" s="130"/>
      <c r="C2" s="130"/>
      <c r="D2" s="130"/>
      <c r="E2" s="130"/>
      <c r="F2" s="130"/>
      <c r="G2" s="130"/>
      <c r="H2" s="26"/>
      <c r="I2" s="26"/>
    </row>
    <row r="3" spans="1:9" ht="24" customHeight="1">
      <c r="A3" s="38"/>
      <c r="B3" s="39" t="s">
        <v>4</v>
      </c>
      <c r="C3" s="39" t="s">
        <v>5</v>
      </c>
      <c r="D3" s="39" t="s">
        <v>6</v>
      </c>
      <c r="E3" s="40" t="s">
        <v>7</v>
      </c>
      <c r="F3" s="39" t="s">
        <v>8</v>
      </c>
      <c r="G3" s="39" t="s">
        <v>9</v>
      </c>
      <c r="H3" s="26"/>
      <c r="I3" s="26"/>
    </row>
    <row r="4" spans="1:9" ht="19.5" customHeight="1">
      <c r="A4" s="39" t="s">
        <v>1</v>
      </c>
      <c r="B4" s="41" t="s">
        <v>10</v>
      </c>
      <c r="C4" s="55" t="s">
        <v>11</v>
      </c>
      <c r="D4" s="42" t="s">
        <v>85</v>
      </c>
      <c r="E4" s="40">
        <f>E5+E12</f>
        <v>1612133386.5150001</v>
      </c>
      <c r="F4" s="40">
        <f t="shared" ref="F4:F13" si="0">E4*8%</f>
        <v>128970670.92120001</v>
      </c>
      <c r="G4" s="61">
        <f t="shared" ref="G4:G12" si="1">ROUND(E4+F4,-3)</f>
        <v>1741104000</v>
      </c>
      <c r="H4" s="66"/>
      <c r="I4" s="26"/>
    </row>
    <row r="5" spans="1:9" ht="27.75" customHeight="1">
      <c r="A5" s="85" t="s">
        <v>80</v>
      </c>
      <c r="B5" s="86" t="s">
        <v>82</v>
      </c>
      <c r="C5" s="87" t="s">
        <v>86</v>
      </c>
      <c r="D5" s="88" t="s">
        <v>148</v>
      </c>
      <c r="E5" s="89">
        <f>SUM(E6:E11)</f>
        <v>1594592865</v>
      </c>
      <c r="F5" s="96">
        <f t="shared" si="0"/>
        <v>127567429.2</v>
      </c>
      <c r="G5" s="94">
        <f t="shared" ref="G5:G6" si="2">ROUND(E5+F5,-3)</f>
        <v>1722160000</v>
      </c>
      <c r="H5" s="26"/>
      <c r="I5" s="26"/>
    </row>
    <row r="6" spans="1:9" ht="27.75" customHeight="1">
      <c r="A6" s="119" t="s">
        <v>126</v>
      </c>
      <c r="B6" s="118" t="s">
        <v>155</v>
      </c>
      <c r="C6" s="120" t="s">
        <v>129</v>
      </c>
      <c r="D6" s="121" t="s">
        <v>54</v>
      </c>
      <c r="E6" s="122">
        <v>1215750394</v>
      </c>
      <c r="F6" s="57">
        <f t="shared" si="0"/>
        <v>97260031.519999996</v>
      </c>
      <c r="G6" s="57">
        <f t="shared" si="2"/>
        <v>1313010000</v>
      </c>
      <c r="H6" s="26"/>
      <c r="I6" s="26"/>
    </row>
    <row r="7" spans="1:9" s="81" customFormat="1" ht="27.75" customHeight="1">
      <c r="A7" s="97" t="s">
        <v>127</v>
      </c>
      <c r="B7" s="98" t="s">
        <v>158</v>
      </c>
      <c r="C7" s="99" t="s">
        <v>130</v>
      </c>
      <c r="D7" s="100" t="s">
        <v>54</v>
      </c>
      <c r="E7" s="57">
        <v>101163519</v>
      </c>
      <c r="F7" s="57">
        <f t="shared" si="0"/>
        <v>8093081.5200000005</v>
      </c>
      <c r="G7" s="48">
        <f t="shared" si="1"/>
        <v>109257000</v>
      </c>
      <c r="H7" s="80"/>
      <c r="I7" s="80"/>
    </row>
    <row r="8" spans="1:9" s="81" customFormat="1" ht="27.75" customHeight="1">
      <c r="A8" s="123" t="s">
        <v>128</v>
      </c>
      <c r="B8" s="124" t="s">
        <v>159</v>
      </c>
      <c r="C8" s="125" t="s">
        <v>131</v>
      </c>
      <c r="D8" s="126" t="s">
        <v>54</v>
      </c>
      <c r="E8" s="127">
        <v>39743608</v>
      </c>
      <c r="F8" s="127">
        <f t="shared" si="0"/>
        <v>3179488.64</v>
      </c>
      <c r="G8" s="94">
        <f t="shared" si="1"/>
        <v>42923000</v>
      </c>
      <c r="H8" s="80"/>
      <c r="I8" s="80"/>
    </row>
    <row r="9" spans="1:9" s="81" customFormat="1" ht="27.75" customHeight="1">
      <c r="A9" s="95" t="s">
        <v>146</v>
      </c>
      <c r="B9" s="98" t="s">
        <v>161</v>
      </c>
      <c r="C9" s="84" t="s">
        <v>147</v>
      </c>
      <c r="D9" s="100" t="s">
        <v>54</v>
      </c>
      <c r="E9" s="106">
        <v>80058943</v>
      </c>
      <c r="F9" s="96">
        <f t="shared" si="0"/>
        <v>6404715.4400000004</v>
      </c>
      <c r="G9" s="94">
        <f t="shared" ref="G9" si="3">ROUND(E9+F9,-3)</f>
        <v>86464000</v>
      </c>
      <c r="H9" s="80"/>
      <c r="I9" s="80"/>
    </row>
    <row r="10" spans="1:9" s="83" customFormat="1" ht="27.75" customHeight="1">
      <c r="A10" s="95" t="s">
        <v>153</v>
      </c>
      <c r="B10" s="101" t="s">
        <v>160</v>
      </c>
      <c r="C10" s="84" t="s">
        <v>156</v>
      </c>
      <c r="D10" s="102" t="s">
        <v>54</v>
      </c>
      <c r="E10" s="103">
        <v>117867626</v>
      </c>
      <c r="F10" s="96">
        <f t="shared" si="0"/>
        <v>9429410.0800000001</v>
      </c>
      <c r="G10" s="94">
        <f t="shared" si="1"/>
        <v>127297000</v>
      </c>
      <c r="H10" s="82"/>
      <c r="I10" s="82"/>
    </row>
    <row r="11" spans="1:9" s="83" customFormat="1" ht="27.75" customHeight="1">
      <c r="A11" s="95" t="s">
        <v>154</v>
      </c>
      <c r="B11" s="104" t="s">
        <v>162</v>
      </c>
      <c r="C11" s="84" t="s">
        <v>157</v>
      </c>
      <c r="D11" s="105" t="str">
        <f>D10</f>
        <v>Có dự toán chi tiết</v>
      </c>
      <c r="E11" s="106">
        <v>40008775</v>
      </c>
      <c r="F11" s="96">
        <f t="shared" si="0"/>
        <v>3200702</v>
      </c>
      <c r="G11" s="94">
        <f t="shared" si="1"/>
        <v>43209000</v>
      </c>
      <c r="H11" s="82"/>
      <c r="I11" s="82"/>
    </row>
    <row r="12" spans="1:9" ht="33.75" customHeight="1">
      <c r="A12" s="90" t="s">
        <v>81</v>
      </c>
      <c r="B12" s="91" t="s">
        <v>83</v>
      </c>
      <c r="C12" s="92" t="s">
        <v>84</v>
      </c>
      <c r="D12" s="93" t="s">
        <v>149</v>
      </c>
      <c r="E12" s="94">
        <f>E5*1.1%</f>
        <v>17540521.515000001</v>
      </c>
      <c r="F12" s="94">
        <f t="shared" si="0"/>
        <v>1403241.7212</v>
      </c>
      <c r="G12" s="94">
        <f t="shared" si="1"/>
        <v>18944000</v>
      </c>
      <c r="H12" s="26"/>
      <c r="I12" s="26"/>
    </row>
    <row r="13" spans="1:9" ht="20.25" customHeight="1">
      <c r="A13" s="62" t="s">
        <v>2</v>
      </c>
      <c r="B13" s="63" t="s">
        <v>57</v>
      </c>
      <c r="C13" s="64" t="s">
        <v>69</v>
      </c>
      <c r="D13" s="43" t="str">
        <f>D16</f>
        <v>Có dự toán chi tiết</v>
      </c>
      <c r="E13" s="65">
        <f>G13/1.08</f>
        <v>17550000</v>
      </c>
      <c r="F13" s="65">
        <f t="shared" si="0"/>
        <v>1404000</v>
      </c>
      <c r="G13" s="65">
        <f>tb!L4</f>
        <v>18954000</v>
      </c>
      <c r="H13" s="26"/>
      <c r="I13" s="26"/>
    </row>
    <row r="14" spans="1:9" ht="20.25" customHeight="1">
      <c r="A14" s="39" t="s">
        <v>2</v>
      </c>
      <c r="B14" s="59" t="s">
        <v>12</v>
      </c>
      <c r="C14" s="39" t="s">
        <v>13</v>
      </c>
      <c r="D14" s="39" t="s">
        <v>89</v>
      </c>
      <c r="E14" s="40">
        <f>(E4+E13)*3.446%</f>
        <v>56158889.49930691</v>
      </c>
      <c r="F14" s="40"/>
      <c r="G14" s="40">
        <f>ROUND((F14+E14),-3)</f>
        <v>56159000</v>
      </c>
      <c r="H14" s="26"/>
      <c r="I14" s="26"/>
    </row>
    <row r="15" spans="1:9" ht="21" customHeight="1">
      <c r="A15" s="39" t="s">
        <v>14</v>
      </c>
      <c r="B15" s="59" t="s">
        <v>15</v>
      </c>
      <c r="C15" s="55" t="s">
        <v>16</v>
      </c>
      <c r="D15" s="39" t="s">
        <v>166</v>
      </c>
      <c r="E15" s="40">
        <f>ROUND(SUM(E16:E25),-3)</f>
        <v>126902000</v>
      </c>
      <c r="F15" s="40">
        <f>ROUND(SUM(F16:F25),-3)</f>
        <v>10152000</v>
      </c>
      <c r="G15" s="40">
        <f>ROUND(SUM(G16:G25),-3)</f>
        <v>137053000</v>
      </c>
      <c r="H15" s="26"/>
      <c r="I15" s="26"/>
    </row>
    <row r="16" spans="1:9" ht="15.75">
      <c r="A16" s="44" t="s">
        <v>17</v>
      </c>
      <c r="B16" s="45" t="s">
        <v>88</v>
      </c>
      <c r="C16" s="46" t="s">
        <v>18</v>
      </c>
      <c r="D16" s="47" t="s">
        <v>54</v>
      </c>
      <c r="E16" s="48">
        <f>G16/1.08</f>
        <v>13888888.888888888</v>
      </c>
      <c r="F16" s="48">
        <f t="shared" ref="F16:F25" si="4">E16*8%</f>
        <v>1111111.111111111</v>
      </c>
      <c r="G16" s="48">
        <v>15000000</v>
      </c>
      <c r="H16" s="26"/>
      <c r="I16" s="26"/>
    </row>
    <row r="17" spans="1:15" ht="31.5">
      <c r="A17" s="49" t="s">
        <v>19</v>
      </c>
      <c r="B17" s="45" t="s">
        <v>71</v>
      </c>
      <c r="C17" s="46" t="s">
        <v>20</v>
      </c>
      <c r="D17" s="47" t="s">
        <v>165</v>
      </c>
      <c r="E17" s="48">
        <f>(E5+E13)*M21%</f>
        <v>95653030.015987247</v>
      </c>
      <c r="F17" s="48">
        <f t="shared" si="4"/>
        <v>7652242.4012789801</v>
      </c>
      <c r="G17" s="48">
        <f t="shared" ref="G17" si="5">ROUND(E17+F17,-3)</f>
        <v>103305000</v>
      </c>
      <c r="H17" s="26"/>
      <c r="I17" s="26"/>
    </row>
    <row r="18" spans="1:15" ht="35.25" customHeight="1">
      <c r="A18" s="49" t="s">
        <v>21</v>
      </c>
      <c r="B18" s="45" t="s">
        <v>66</v>
      </c>
      <c r="C18" s="46" t="s">
        <v>22</v>
      </c>
      <c r="D18" s="47" t="s">
        <v>90</v>
      </c>
      <c r="E18" s="48">
        <f>E5*0.258%</f>
        <v>4114049.5917000002</v>
      </c>
      <c r="F18" s="48">
        <f t="shared" si="4"/>
        <v>329123.967336</v>
      </c>
      <c r="G18" s="48">
        <f t="shared" ref="G18:G25" si="6">ROUND(E18+F18,-3)</f>
        <v>4443000</v>
      </c>
      <c r="H18" s="26"/>
      <c r="I18" s="26"/>
      <c r="L18" s="34">
        <v>1</v>
      </c>
      <c r="M18" s="67">
        <v>6.5</v>
      </c>
    </row>
    <row r="19" spans="1:15" ht="39.75" customHeight="1">
      <c r="A19" s="49" t="s">
        <v>23</v>
      </c>
      <c r="B19" s="45" t="s">
        <v>67</v>
      </c>
      <c r="C19" s="46" t="s">
        <v>24</v>
      </c>
      <c r="D19" s="47" t="s">
        <v>91</v>
      </c>
      <c r="E19" s="48">
        <f>E5*0.25%</f>
        <v>3986482.1625000001</v>
      </c>
      <c r="F19" s="48">
        <f t="shared" si="4"/>
        <v>318918.57300000003</v>
      </c>
      <c r="G19" s="48">
        <f t="shared" si="6"/>
        <v>4305000</v>
      </c>
      <c r="H19" s="26"/>
      <c r="I19" s="26"/>
      <c r="L19" s="34">
        <v>3</v>
      </c>
      <c r="M19" s="34">
        <v>4.7</v>
      </c>
    </row>
    <row r="20" spans="1:15" ht="19.5" customHeight="1">
      <c r="A20" s="49" t="s">
        <v>25</v>
      </c>
      <c r="B20" s="45" t="s">
        <v>56</v>
      </c>
      <c r="C20" s="46" t="s">
        <v>26</v>
      </c>
      <c r="D20" s="47" t="s">
        <v>92</v>
      </c>
      <c r="E20" s="48">
        <f>G20/1.08</f>
        <v>9259259.2592592593</v>
      </c>
      <c r="F20" s="48">
        <f t="shared" si="4"/>
        <v>740740.74074074079</v>
      </c>
      <c r="G20" s="48">
        <v>10000000</v>
      </c>
      <c r="H20" s="26"/>
      <c r="I20" s="26"/>
      <c r="L20" s="34"/>
      <c r="M20" s="34"/>
    </row>
    <row r="21" spans="1:15" ht="33.75" hidden="1" customHeight="1">
      <c r="A21" s="49" t="s">
        <v>27</v>
      </c>
      <c r="B21" s="45" t="s">
        <v>64</v>
      </c>
      <c r="C21" s="46" t="s">
        <v>28</v>
      </c>
      <c r="D21" s="47" t="s">
        <v>93</v>
      </c>
      <c r="E21" s="48"/>
      <c r="F21" s="48">
        <f t="shared" si="4"/>
        <v>0</v>
      </c>
      <c r="G21" s="48">
        <f>ROUND(E21+F21,-3)</f>
        <v>0</v>
      </c>
      <c r="H21" s="26"/>
      <c r="I21" s="26"/>
      <c r="L21" s="35">
        <f>(E4+E13)/10^9</f>
        <v>1.629683386515</v>
      </c>
      <c r="M21" s="36">
        <f>(L19-L21)*(M18-M19)/(L19-L18)+M19</f>
        <v>5.9332849521364999</v>
      </c>
    </row>
    <row r="22" spans="1:15" ht="31.5" hidden="1">
      <c r="A22" s="49" t="s">
        <v>45</v>
      </c>
      <c r="B22" s="45" t="s">
        <v>65</v>
      </c>
      <c r="C22" s="46" t="s">
        <v>49</v>
      </c>
      <c r="D22" s="47" t="s">
        <v>94</v>
      </c>
      <c r="E22" s="48"/>
      <c r="F22" s="48">
        <f t="shared" si="4"/>
        <v>0</v>
      </c>
      <c r="G22" s="48">
        <f t="shared" si="6"/>
        <v>0</v>
      </c>
      <c r="H22" s="26"/>
      <c r="I22" s="26"/>
      <c r="O22" s="1"/>
    </row>
    <row r="23" spans="1:15" ht="31.5" hidden="1">
      <c r="A23" s="49" t="s">
        <v>46</v>
      </c>
      <c r="B23" s="45" t="s">
        <v>68</v>
      </c>
      <c r="C23" s="46" t="s">
        <v>50</v>
      </c>
      <c r="D23" s="49" t="s">
        <v>95</v>
      </c>
      <c r="E23" s="48"/>
      <c r="F23" s="48">
        <f t="shared" si="4"/>
        <v>0</v>
      </c>
      <c r="G23" s="48">
        <f t="shared" si="6"/>
        <v>0</v>
      </c>
      <c r="H23" s="26"/>
      <c r="I23" s="26"/>
      <c r="O23" s="1"/>
    </row>
    <row r="24" spans="1:15" s="26" customFormat="1" ht="51.75" hidden="1" customHeight="1">
      <c r="A24" s="49" t="s">
        <v>46</v>
      </c>
      <c r="B24" s="45" t="s">
        <v>72</v>
      </c>
      <c r="C24" s="46" t="s">
        <v>51</v>
      </c>
      <c r="D24" s="47" t="s">
        <v>70</v>
      </c>
      <c r="E24" s="48"/>
      <c r="F24" s="48">
        <f t="shared" si="4"/>
        <v>0</v>
      </c>
      <c r="G24" s="48">
        <f t="shared" si="6"/>
        <v>0</v>
      </c>
      <c r="H24" s="50" t="s">
        <v>74</v>
      </c>
      <c r="O24" s="1"/>
    </row>
    <row r="25" spans="1:15" ht="49.5" hidden="1" customHeight="1">
      <c r="A25" s="49" t="s">
        <v>55</v>
      </c>
      <c r="B25" s="45" t="s">
        <v>73</v>
      </c>
      <c r="C25" s="46" t="s">
        <v>51</v>
      </c>
      <c r="D25" s="47" t="s">
        <v>87</v>
      </c>
      <c r="E25" s="48"/>
      <c r="F25" s="48">
        <f t="shared" si="4"/>
        <v>0</v>
      </c>
      <c r="G25" s="48">
        <f t="shared" si="6"/>
        <v>0</v>
      </c>
      <c r="H25" s="26"/>
      <c r="I25" s="26"/>
      <c r="K25" s="34">
        <v>6.5</v>
      </c>
      <c r="L25" s="34"/>
      <c r="M25" s="34"/>
      <c r="O25" s="1"/>
    </row>
    <row r="26" spans="1:15" ht="15.75">
      <c r="A26" s="39" t="s">
        <v>38</v>
      </c>
      <c r="B26" s="59" t="s">
        <v>29</v>
      </c>
      <c r="C26" s="55" t="s">
        <v>30</v>
      </c>
      <c r="D26" s="39" t="s">
        <v>31</v>
      </c>
      <c r="E26" s="40">
        <f>ROUND(SUM(E27:E29),-3)</f>
        <v>12265000</v>
      </c>
      <c r="F26" s="40">
        <f>ROUND(SUM(F27:F29),-3)</f>
        <v>0</v>
      </c>
      <c r="G26" s="40">
        <f>ROUND(SUM(G27:G29),-3)</f>
        <v>12265000</v>
      </c>
      <c r="H26" s="26"/>
      <c r="I26" s="26"/>
      <c r="K26" s="34">
        <v>5</v>
      </c>
      <c r="L26" s="34">
        <v>0.56999999999999995</v>
      </c>
      <c r="M26" s="34">
        <f>+L26-((L26-L27)*(K25-K26)/(K27-K26))</f>
        <v>0.51600000000000001</v>
      </c>
      <c r="O26" s="33"/>
    </row>
    <row r="27" spans="1:15" ht="45" hidden="1" customHeight="1">
      <c r="A27" s="51" t="s">
        <v>32</v>
      </c>
      <c r="B27" s="60" t="s">
        <v>44</v>
      </c>
      <c r="C27" s="51" t="s">
        <v>33</v>
      </c>
      <c r="D27" s="51" t="s">
        <v>48</v>
      </c>
      <c r="E27" s="52"/>
      <c r="F27" s="52">
        <f>E27*0.08</f>
        <v>0</v>
      </c>
      <c r="G27" s="52">
        <f>ROUND(E27+F27,-3)</f>
        <v>0</v>
      </c>
      <c r="H27" s="50" t="s">
        <v>76</v>
      </c>
      <c r="I27" s="26"/>
      <c r="K27" s="34">
        <v>10</v>
      </c>
      <c r="L27" s="34">
        <v>0.39</v>
      </c>
      <c r="M27" s="34"/>
      <c r="O27" s="1"/>
    </row>
    <row r="28" spans="1:15" ht="51" customHeight="1">
      <c r="A28" s="49" t="s">
        <v>32</v>
      </c>
      <c r="B28" s="45" t="s">
        <v>79</v>
      </c>
      <c r="C28" s="49" t="s">
        <v>33</v>
      </c>
      <c r="D28" s="49" t="s">
        <v>96</v>
      </c>
      <c r="E28" s="48">
        <f>0.57%*2064000000</f>
        <v>11764799.999999998</v>
      </c>
      <c r="F28" s="48"/>
      <c r="G28" s="48">
        <f>ROUND(E28+F28,-3)</f>
        <v>11765000</v>
      </c>
      <c r="H28" s="50" t="s">
        <v>75</v>
      </c>
      <c r="I28" s="26"/>
      <c r="O28" s="1"/>
    </row>
    <row r="29" spans="1:15" ht="35.25" customHeight="1">
      <c r="A29" s="49" t="s">
        <v>34</v>
      </c>
      <c r="B29" s="56" t="s">
        <v>35</v>
      </c>
      <c r="C29" s="49" t="s">
        <v>36</v>
      </c>
      <c r="D29" s="47" t="s">
        <v>37</v>
      </c>
      <c r="E29" s="48">
        <v>500000</v>
      </c>
      <c r="F29" s="57"/>
      <c r="G29" s="48">
        <f>ROUND(E29+F29,-3)</f>
        <v>500000</v>
      </c>
      <c r="H29" s="26"/>
      <c r="I29" s="48">
        <f>0.019%*6000000000</f>
        <v>1140000</v>
      </c>
      <c r="O29" s="1"/>
    </row>
    <row r="30" spans="1:15" ht="31.5">
      <c r="A30" s="39" t="s">
        <v>77</v>
      </c>
      <c r="B30" s="38" t="s">
        <v>39</v>
      </c>
      <c r="C30" s="55" t="s">
        <v>40</v>
      </c>
      <c r="D30" s="53" t="s">
        <v>97</v>
      </c>
      <c r="E30" s="40"/>
      <c r="F30" s="40"/>
      <c r="G30" s="40">
        <f>ROUND(5%*(G4+G14+G15+G26+G13),-3)</f>
        <v>98277000</v>
      </c>
      <c r="H30" s="26"/>
      <c r="I30" s="58">
        <f>G30/(G4+G14+G15+G26)</f>
        <v>5.0486982046983916E-2</v>
      </c>
      <c r="K30" s="1">
        <f>2%*(G4+G14+G15+G26)</f>
        <v>38931620</v>
      </c>
      <c r="L30" s="37">
        <f>K30-G30</f>
        <v>-59345380</v>
      </c>
      <c r="O30" s="1"/>
    </row>
    <row r="31" spans="1:15" ht="15.75">
      <c r="A31" s="39"/>
      <c r="B31" s="38" t="s">
        <v>52</v>
      </c>
      <c r="C31" s="55" t="s">
        <v>41</v>
      </c>
      <c r="D31" s="53" t="s">
        <v>78</v>
      </c>
      <c r="E31" s="40"/>
      <c r="F31" s="40"/>
      <c r="G31" s="40">
        <f>ROUND(G4+G14+G15+G30+G26+G13,-3)</f>
        <v>2063812000</v>
      </c>
      <c r="H31" s="26"/>
      <c r="I31" s="26"/>
      <c r="O31" s="1"/>
    </row>
    <row r="32" spans="1:15" ht="15.75">
      <c r="A32" s="38"/>
      <c r="B32" s="38" t="s">
        <v>53</v>
      </c>
      <c r="C32" s="39"/>
      <c r="D32" s="39"/>
      <c r="E32" s="54"/>
      <c r="F32" s="54"/>
      <c r="G32" s="40">
        <f>ROUND((G31),-6)</f>
        <v>2064000000</v>
      </c>
      <c r="H32" s="26"/>
      <c r="I32" s="26"/>
    </row>
    <row r="33" spans="1:7" ht="15.75">
      <c r="A33" s="2"/>
      <c r="B33" s="131"/>
      <c r="C33" s="131"/>
      <c r="D33" s="131"/>
      <c r="E33" s="131"/>
      <c r="F33" s="131"/>
      <c r="G33" s="131"/>
    </row>
    <row r="34" spans="1:7" ht="16.5">
      <c r="A34" s="128"/>
      <c r="B34" s="128"/>
      <c r="C34" s="128"/>
      <c r="D34" s="3"/>
      <c r="E34" s="132" t="s">
        <v>58</v>
      </c>
      <c r="F34" s="132"/>
      <c r="G34" s="132"/>
    </row>
    <row r="35" spans="1:7" ht="16.5">
      <c r="A35" s="128"/>
      <c r="B35" s="128"/>
      <c r="C35" s="4"/>
      <c r="D35" s="5"/>
      <c r="E35" s="6"/>
      <c r="F35" s="7" t="s">
        <v>42</v>
      </c>
      <c r="G35" s="8"/>
    </row>
    <row r="36" spans="1:7" ht="15.75">
      <c r="A36" s="9"/>
      <c r="B36" s="10"/>
      <c r="C36" s="9"/>
      <c r="D36" s="11"/>
      <c r="E36" s="12"/>
      <c r="F36" s="13"/>
      <c r="G36" s="14"/>
    </row>
    <row r="37" spans="1:7" ht="15.75">
      <c r="A37" s="9"/>
      <c r="B37" s="10"/>
      <c r="C37" s="9"/>
      <c r="D37" s="11"/>
      <c r="E37" s="15"/>
      <c r="F37" s="16"/>
      <c r="G37" s="10"/>
    </row>
    <row r="38" spans="1:7" ht="15.75">
      <c r="A38" s="9"/>
      <c r="B38" s="10"/>
      <c r="C38" s="9"/>
      <c r="D38" s="17"/>
      <c r="E38" s="15"/>
      <c r="F38" s="16"/>
      <c r="G38" s="10"/>
    </row>
    <row r="39" spans="1:7" ht="16.5">
      <c r="A39" s="9"/>
      <c r="B39" s="18"/>
      <c r="C39" s="19"/>
      <c r="D39" s="5"/>
      <c r="E39" s="133"/>
      <c r="F39" s="133"/>
      <c r="G39" s="133"/>
    </row>
    <row r="40" spans="1:7" ht="16.5">
      <c r="A40" s="134"/>
      <c r="B40" s="134"/>
      <c r="C40" s="15"/>
      <c r="D40" s="20"/>
      <c r="E40" s="135"/>
      <c r="F40" s="135"/>
      <c r="G40" s="135"/>
    </row>
    <row r="41" spans="1:7">
      <c r="A41" s="134"/>
      <c r="B41" s="134"/>
      <c r="C41" s="21"/>
      <c r="D41" s="136"/>
      <c r="E41" s="136"/>
      <c r="F41" s="136"/>
      <c r="G41" s="136"/>
    </row>
    <row r="42" spans="1:7" ht="16.5">
      <c r="A42" s="22"/>
      <c r="B42" s="23"/>
      <c r="C42" s="23"/>
      <c r="D42" s="23"/>
      <c r="E42" s="23"/>
      <c r="F42" s="23"/>
      <c r="G42" s="23"/>
    </row>
  </sheetData>
  <mergeCells count="12">
    <mergeCell ref="E39:G39"/>
    <mergeCell ref="A40:B40"/>
    <mergeCell ref="E40:G40"/>
    <mergeCell ref="A41:B41"/>
    <mergeCell ref="D41:E41"/>
    <mergeCell ref="F41:G41"/>
    <mergeCell ref="A35:B35"/>
    <mergeCell ref="A1:G1"/>
    <mergeCell ref="A2:G2"/>
    <mergeCell ref="B33:G33"/>
    <mergeCell ref="A34:C34"/>
    <mergeCell ref="E34:G34"/>
  </mergeCells>
  <phoneticPr fontId="30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opLeftCell="B1" workbookViewId="0">
      <selection activeCell="J11" sqref="J11"/>
    </sheetView>
  </sheetViews>
  <sheetFormatPr defaultRowHeight="15"/>
  <cols>
    <col min="1" max="1" width="7.28515625" style="75" customWidth="1"/>
    <col min="2" max="2" width="50.85546875" style="76" customWidth="1"/>
    <col min="3" max="3" width="8.28515625" style="77" customWidth="1"/>
    <col min="4" max="4" width="10.85546875" style="77" customWidth="1"/>
    <col min="5" max="5" width="11.42578125" style="77" customWidth="1"/>
    <col min="6" max="6" width="11" style="77" customWidth="1"/>
    <col min="7" max="8" width="11.85546875" style="77" customWidth="1"/>
    <col min="9" max="9" width="11" style="75" customWidth="1"/>
    <col min="10" max="10" width="17" style="77" customWidth="1"/>
    <col min="11" max="11" width="15.85546875" style="77" customWidth="1"/>
    <col min="12" max="12" width="17.28515625" style="77" customWidth="1"/>
  </cols>
  <sheetData>
    <row r="1" spans="1:15" ht="18.75">
      <c r="A1" s="137" t="s">
        <v>63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28"/>
      <c r="N1" s="28"/>
      <c r="O1" s="28"/>
    </row>
    <row r="2" spans="1:15" ht="18.75">
      <c r="A2" s="137" t="str">
        <f>TH!A2</f>
        <v>CÔNG TRÌNH: HỆ THỐNG PHÒNG CHÁY CHỮA CHÁY CÁC TRƯỜNG MẦM NON TRÊN ĐỊA BÀN PHƯỜNG ĐỒNG SƠN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28"/>
      <c r="N2" s="28"/>
      <c r="O2" s="28"/>
    </row>
    <row r="3" spans="1:15" s="27" customFormat="1" ht="93.75">
      <c r="A3" s="29" t="s">
        <v>0</v>
      </c>
      <c r="B3" s="29" t="s">
        <v>59</v>
      </c>
      <c r="C3" s="29" t="s">
        <v>47</v>
      </c>
      <c r="D3" s="29" t="s">
        <v>134</v>
      </c>
      <c r="E3" s="29" t="s">
        <v>138</v>
      </c>
      <c r="F3" s="29" t="s">
        <v>139</v>
      </c>
      <c r="G3" s="29" t="s">
        <v>140</v>
      </c>
      <c r="H3" s="29" t="s">
        <v>150</v>
      </c>
      <c r="I3" s="29" t="s">
        <v>106</v>
      </c>
      <c r="J3" s="29" t="s">
        <v>61</v>
      </c>
      <c r="K3" s="29" t="s">
        <v>62</v>
      </c>
      <c r="L3" s="29" t="s">
        <v>43</v>
      </c>
      <c r="M3" s="72"/>
    </row>
    <row r="4" spans="1:15" ht="18.75">
      <c r="A4" s="68" t="s">
        <v>1</v>
      </c>
      <c r="B4" s="69" t="s">
        <v>60</v>
      </c>
      <c r="C4" s="69"/>
      <c r="D4" s="69"/>
      <c r="E4" s="69"/>
      <c r="F4" s="69"/>
      <c r="G4" s="69"/>
      <c r="H4" s="69"/>
      <c r="I4" s="68"/>
      <c r="J4" s="70"/>
      <c r="K4" s="70"/>
      <c r="L4" s="71">
        <f>SUM(L5:L8)</f>
        <v>18954000</v>
      </c>
      <c r="M4" s="73"/>
    </row>
    <row r="5" spans="1:15" ht="37.5">
      <c r="A5" s="30">
        <v>1</v>
      </c>
      <c r="B5" s="74" t="s">
        <v>120</v>
      </c>
      <c r="C5" s="30" t="s">
        <v>105</v>
      </c>
      <c r="D5" s="30"/>
      <c r="E5" s="30"/>
      <c r="F5" s="30">
        <v>5</v>
      </c>
      <c r="G5" s="30"/>
      <c r="H5" s="30"/>
      <c r="I5" s="30">
        <f>SUM(D5:H5)</f>
        <v>5</v>
      </c>
      <c r="J5" s="31">
        <v>40000</v>
      </c>
      <c r="K5" s="31">
        <f t="shared" ref="K5:K8" si="0">J5*1.08</f>
        <v>43200</v>
      </c>
      <c r="L5" s="32">
        <f>K5*I5</f>
        <v>216000</v>
      </c>
      <c r="M5" s="73"/>
    </row>
    <row r="6" spans="1:15" ht="18.75">
      <c r="A6" s="30">
        <v>2</v>
      </c>
      <c r="B6" s="74" t="s">
        <v>121</v>
      </c>
      <c r="C6" s="30" t="s">
        <v>105</v>
      </c>
      <c r="D6" s="30"/>
      <c r="E6" s="30">
        <v>5</v>
      </c>
      <c r="F6" s="30">
        <v>5</v>
      </c>
      <c r="G6" s="30"/>
      <c r="H6" s="30"/>
      <c r="I6" s="30">
        <f>SUM(D6:H6)</f>
        <v>10</v>
      </c>
      <c r="J6" s="31">
        <v>110000</v>
      </c>
      <c r="K6" s="31">
        <f t="shared" si="0"/>
        <v>118800.00000000001</v>
      </c>
      <c r="L6" s="32">
        <f>K6*I6</f>
        <v>1188000.0000000002</v>
      </c>
      <c r="M6" s="73"/>
    </row>
    <row r="7" spans="1:15" ht="18.75">
      <c r="A7" s="30">
        <v>3</v>
      </c>
      <c r="B7" s="74" t="s">
        <v>122</v>
      </c>
      <c r="C7" s="30" t="s">
        <v>105</v>
      </c>
      <c r="D7" s="30"/>
      <c r="E7" s="30">
        <v>10</v>
      </c>
      <c r="F7" s="30">
        <v>10</v>
      </c>
      <c r="G7" s="30"/>
      <c r="H7" s="30"/>
      <c r="I7" s="30">
        <f>SUM(D7:H7)</f>
        <v>20</v>
      </c>
      <c r="J7" s="31">
        <v>550000</v>
      </c>
      <c r="K7" s="31">
        <f t="shared" si="0"/>
        <v>594000</v>
      </c>
      <c r="L7" s="32">
        <f>K7*I7</f>
        <v>11880000</v>
      </c>
      <c r="M7" s="73"/>
    </row>
    <row r="8" spans="1:15" ht="18.75">
      <c r="A8" s="30">
        <v>4</v>
      </c>
      <c r="B8" s="74" t="s">
        <v>124</v>
      </c>
      <c r="C8" s="30" t="s">
        <v>105</v>
      </c>
      <c r="D8" s="30">
        <v>5</v>
      </c>
      <c r="E8" s="30">
        <v>6</v>
      </c>
      <c r="F8" s="30">
        <v>6</v>
      </c>
      <c r="G8" s="30">
        <v>10</v>
      </c>
      <c r="H8" s="30">
        <v>8</v>
      </c>
      <c r="I8" s="30">
        <f>SUM(D8:H8)</f>
        <v>35</v>
      </c>
      <c r="J8" s="31">
        <v>150000</v>
      </c>
      <c r="K8" s="31">
        <f t="shared" si="0"/>
        <v>162000</v>
      </c>
      <c r="L8" s="32">
        <f>K8*I8</f>
        <v>5670000</v>
      </c>
    </row>
    <row r="9" spans="1:15" ht="18.75">
      <c r="C9" s="79"/>
    </row>
  </sheetData>
  <mergeCells count="2">
    <mergeCell ref="A1:L1"/>
    <mergeCell ref="A2:L2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16" workbookViewId="0">
      <selection activeCell="D25" sqref="D25"/>
    </sheetView>
  </sheetViews>
  <sheetFormatPr defaultColWidth="8.7109375" defaultRowHeight="15"/>
  <cols>
    <col min="1" max="1" width="7.28515625" style="109" customWidth="1"/>
    <col min="2" max="2" width="50.85546875" style="112" customWidth="1"/>
    <col min="3" max="3" width="8.28515625" style="110" customWidth="1"/>
    <col min="4" max="4" width="15" style="110" customWidth="1"/>
    <col min="5" max="5" width="17.85546875" style="115" customWidth="1"/>
    <col min="6" max="6" width="14.5703125" style="111" customWidth="1"/>
    <col min="7" max="7" width="16" style="26" customWidth="1"/>
    <col min="8" max="16384" width="8.7109375" style="26"/>
  </cols>
  <sheetData>
    <row r="1" spans="1:7" ht="18.75">
      <c r="A1" s="129" t="s">
        <v>63</v>
      </c>
      <c r="B1" s="129"/>
      <c r="C1" s="129"/>
      <c r="D1" s="129"/>
      <c r="E1" s="129"/>
      <c r="F1" s="129"/>
    </row>
    <row r="2" spans="1:7" ht="44.25" customHeight="1">
      <c r="A2" s="138" t="str">
        <f>TH!A2</f>
        <v>CÔNG TRÌNH: HỆ THỐNG PHÒNG CHÁY CHỮA CHÁY CÁC TRƯỜNG MẦM NON TRÊN ĐỊA BÀN PHƯỜNG ĐỒNG SƠN</v>
      </c>
      <c r="B2" s="138"/>
      <c r="C2" s="138"/>
      <c r="D2" s="138"/>
      <c r="E2" s="138"/>
      <c r="F2" s="138"/>
    </row>
    <row r="3" spans="1:7" ht="37.5">
      <c r="A3" s="107" t="s">
        <v>0</v>
      </c>
      <c r="B3" s="107" t="s">
        <v>59</v>
      </c>
      <c r="C3" s="107" t="s">
        <v>47</v>
      </c>
      <c r="D3" s="107" t="s">
        <v>163</v>
      </c>
      <c r="E3" s="113" t="s">
        <v>61</v>
      </c>
      <c r="F3" s="107" t="s">
        <v>62</v>
      </c>
      <c r="G3" s="107" t="s">
        <v>164</v>
      </c>
    </row>
    <row r="4" spans="1:7" ht="37.5">
      <c r="A4" s="78">
        <v>1</v>
      </c>
      <c r="B4" s="74" t="s">
        <v>135</v>
      </c>
      <c r="C4" s="78" t="s">
        <v>105</v>
      </c>
      <c r="D4" s="78">
        <v>2</v>
      </c>
      <c r="E4" s="114">
        <v>7790909</v>
      </c>
      <c r="F4" s="116">
        <f>E4*1.08</f>
        <v>8414181.7200000007</v>
      </c>
      <c r="G4" s="116">
        <f>F4*D4</f>
        <v>16828363.440000001</v>
      </c>
    </row>
    <row r="5" spans="1:7" ht="18.75">
      <c r="A5" s="78">
        <f>A4+1</f>
        <v>2</v>
      </c>
      <c r="B5" s="74" t="s">
        <v>98</v>
      </c>
      <c r="C5" s="78" t="s">
        <v>105</v>
      </c>
      <c r="D5" s="78"/>
      <c r="E5" s="114">
        <v>7454545</v>
      </c>
      <c r="F5" s="116">
        <f t="shared" ref="F5:F41" si="0">E5*1.08</f>
        <v>8050908.6000000006</v>
      </c>
      <c r="G5" s="116">
        <f t="shared" ref="G5:G41" si="1">F5*D5</f>
        <v>0</v>
      </c>
    </row>
    <row r="6" spans="1:7" ht="18.75">
      <c r="A6" s="78">
        <f>A5+1</f>
        <v>3</v>
      </c>
      <c r="B6" s="74" t="s">
        <v>132</v>
      </c>
      <c r="C6" s="78" t="s">
        <v>105</v>
      </c>
      <c r="D6" s="78"/>
      <c r="E6" s="114">
        <v>7127273</v>
      </c>
      <c r="F6" s="116">
        <f t="shared" si="0"/>
        <v>7697454.8400000008</v>
      </c>
      <c r="G6" s="116">
        <f t="shared" si="1"/>
        <v>0</v>
      </c>
    </row>
    <row r="7" spans="1:7" ht="18.75">
      <c r="A7" s="78">
        <f t="shared" ref="A7:A8" si="2">A6+1</f>
        <v>4</v>
      </c>
      <c r="B7" s="74" t="s">
        <v>99</v>
      </c>
      <c r="C7" s="78" t="s">
        <v>105</v>
      </c>
      <c r="D7" s="78">
        <v>21</v>
      </c>
      <c r="E7" s="114">
        <v>1800000</v>
      </c>
      <c r="F7" s="116">
        <f t="shared" si="0"/>
        <v>1944000.0000000002</v>
      </c>
      <c r="G7" s="116">
        <f t="shared" si="1"/>
        <v>40824000.000000007</v>
      </c>
    </row>
    <row r="8" spans="1:7" ht="18.75">
      <c r="A8" s="78">
        <f t="shared" si="2"/>
        <v>5</v>
      </c>
      <c r="B8" s="74" t="s">
        <v>100</v>
      </c>
      <c r="C8" s="78" t="s">
        <v>105</v>
      </c>
      <c r="D8" s="78">
        <v>21</v>
      </c>
      <c r="E8" s="114">
        <v>281818</v>
      </c>
      <c r="F8" s="116">
        <f t="shared" si="0"/>
        <v>304363.44</v>
      </c>
      <c r="G8" s="116">
        <f t="shared" si="1"/>
        <v>6391632.2400000002</v>
      </c>
    </row>
    <row r="9" spans="1:7" ht="18.75">
      <c r="A9" s="78">
        <f t="shared" ref="A9:A41" si="3">A8+1</f>
        <v>6</v>
      </c>
      <c r="B9" s="74" t="s">
        <v>101</v>
      </c>
      <c r="C9" s="78" t="s">
        <v>105</v>
      </c>
      <c r="D9" s="78">
        <v>287</v>
      </c>
      <c r="E9" s="114">
        <v>427273</v>
      </c>
      <c r="F9" s="116">
        <f t="shared" si="0"/>
        <v>461454.84</v>
      </c>
      <c r="G9" s="116">
        <f t="shared" si="1"/>
        <v>132437539.08000001</v>
      </c>
    </row>
    <row r="10" spans="1:7" ht="18.75">
      <c r="A10" s="78">
        <f t="shared" si="3"/>
        <v>7</v>
      </c>
      <c r="B10" s="74" t="s">
        <v>102</v>
      </c>
      <c r="C10" s="78" t="s">
        <v>105</v>
      </c>
      <c r="D10" s="78">
        <v>70</v>
      </c>
      <c r="E10" s="114">
        <v>181818</v>
      </c>
      <c r="F10" s="116">
        <f t="shared" si="0"/>
        <v>196363.44</v>
      </c>
      <c r="G10" s="116">
        <f t="shared" si="1"/>
        <v>13745440.800000001</v>
      </c>
    </row>
    <row r="11" spans="1:7" ht="18.75">
      <c r="A11" s="78">
        <f t="shared" si="3"/>
        <v>8</v>
      </c>
      <c r="B11" s="74" t="s">
        <v>103</v>
      </c>
      <c r="C11" s="78" t="s">
        <v>105</v>
      </c>
      <c r="D11" s="78"/>
      <c r="E11" s="114">
        <v>272727</v>
      </c>
      <c r="F11" s="116">
        <f t="shared" si="0"/>
        <v>294545.16000000003</v>
      </c>
      <c r="G11" s="116">
        <f t="shared" si="1"/>
        <v>0</v>
      </c>
    </row>
    <row r="12" spans="1:7" ht="18.75">
      <c r="A12" s="78">
        <f t="shared" si="3"/>
        <v>9</v>
      </c>
      <c r="B12" s="74" t="s">
        <v>104</v>
      </c>
      <c r="C12" s="78" t="s">
        <v>105</v>
      </c>
      <c r="D12" s="78">
        <v>2</v>
      </c>
      <c r="E12" s="114">
        <v>225000</v>
      </c>
      <c r="F12" s="116">
        <f t="shared" si="0"/>
        <v>243000.00000000003</v>
      </c>
      <c r="G12" s="116">
        <f t="shared" si="1"/>
        <v>486000.00000000006</v>
      </c>
    </row>
    <row r="13" spans="1:7" ht="18.75">
      <c r="A13" s="78">
        <f t="shared" si="3"/>
        <v>10</v>
      </c>
      <c r="B13" s="74" t="s">
        <v>107</v>
      </c>
      <c r="C13" s="78" t="s">
        <v>105</v>
      </c>
      <c r="D13" s="78">
        <v>56</v>
      </c>
      <c r="E13" s="114">
        <v>30000</v>
      </c>
      <c r="F13" s="116">
        <f t="shared" si="0"/>
        <v>32400.000000000004</v>
      </c>
      <c r="G13" s="116">
        <f t="shared" si="1"/>
        <v>1814400.0000000002</v>
      </c>
    </row>
    <row r="14" spans="1:7" ht="18.75">
      <c r="A14" s="78">
        <f t="shared" si="3"/>
        <v>11</v>
      </c>
      <c r="B14" s="74" t="s">
        <v>108</v>
      </c>
      <c r="C14" s="78" t="s">
        <v>105</v>
      </c>
      <c r="D14" s="78">
        <v>265</v>
      </c>
      <c r="E14" s="114">
        <v>21000</v>
      </c>
      <c r="F14" s="116">
        <f t="shared" si="0"/>
        <v>22680</v>
      </c>
      <c r="G14" s="116">
        <f t="shared" si="1"/>
        <v>6010200</v>
      </c>
    </row>
    <row r="15" spans="1:7" ht="18.75">
      <c r="A15" s="78">
        <f t="shared" si="3"/>
        <v>12</v>
      </c>
      <c r="B15" s="74" t="s">
        <v>109</v>
      </c>
      <c r="C15" s="78" t="s">
        <v>105</v>
      </c>
      <c r="D15" s="78">
        <v>22</v>
      </c>
      <c r="E15" s="114">
        <v>97500</v>
      </c>
      <c r="F15" s="116">
        <f t="shared" si="0"/>
        <v>105300</v>
      </c>
      <c r="G15" s="116">
        <f t="shared" si="1"/>
        <v>2316600</v>
      </c>
    </row>
    <row r="16" spans="1:7" ht="18.75">
      <c r="A16" s="78">
        <f t="shared" si="3"/>
        <v>13</v>
      </c>
      <c r="B16" s="74" t="s">
        <v>136</v>
      </c>
      <c r="C16" s="78" t="s">
        <v>105</v>
      </c>
      <c r="D16" s="78">
        <v>10</v>
      </c>
      <c r="E16" s="114">
        <v>97500</v>
      </c>
      <c r="F16" s="116">
        <f t="shared" si="0"/>
        <v>105300</v>
      </c>
      <c r="G16" s="116">
        <f t="shared" si="1"/>
        <v>1053000</v>
      </c>
    </row>
    <row r="17" spans="1:7" ht="18.75">
      <c r="A17" s="78">
        <f t="shared" si="3"/>
        <v>14</v>
      </c>
      <c r="B17" s="74" t="s">
        <v>110</v>
      </c>
      <c r="C17" s="78" t="s">
        <v>105</v>
      </c>
      <c r="D17" s="78">
        <v>52</v>
      </c>
      <c r="E17" s="114">
        <v>55692</v>
      </c>
      <c r="F17" s="116">
        <f t="shared" si="0"/>
        <v>60147.360000000001</v>
      </c>
      <c r="G17" s="116">
        <f t="shared" si="1"/>
        <v>3127662.72</v>
      </c>
    </row>
    <row r="18" spans="1:7" ht="18.75">
      <c r="A18" s="78">
        <f t="shared" si="3"/>
        <v>15</v>
      </c>
      <c r="B18" s="108" t="s">
        <v>141</v>
      </c>
      <c r="C18" s="78" t="s">
        <v>105</v>
      </c>
      <c r="D18" s="78">
        <v>1</v>
      </c>
      <c r="E18" s="114">
        <v>195000</v>
      </c>
      <c r="F18" s="116">
        <f t="shared" si="0"/>
        <v>210600</v>
      </c>
      <c r="G18" s="116">
        <f t="shared" si="1"/>
        <v>210600</v>
      </c>
    </row>
    <row r="19" spans="1:7" ht="18.75">
      <c r="A19" s="78">
        <f t="shared" si="3"/>
        <v>16</v>
      </c>
      <c r="B19" s="108" t="s">
        <v>142</v>
      </c>
      <c r="C19" s="78" t="s">
        <v>105</v>
      </c>
      <c r="D19" s="78">
        <v>5</v>
      </c>
      <c r="E19" s="114">
        <v>120000</v>
      </c>
      <c r="F19" s="116">
        <f t="shared" si="0"/>
        <v>129600.00000000001</v>
      </c>
      <c r="G19" s="116">
        <f t="shared" si="1"/>
        <v>648000.00000000012</v>
      </c>
    </row>
    <row r="20" spans="1:7" ht="18.75">
      <c r="A20" s="78">
        <f t="shared" si="3"/>
        <v>17</v>
      </c>
      <c r="B20" s="108" t="s">
        <v>143</v>
      </c>
      <c r="C20" s="78" t="s">
        <v>105</v>
      </c>
      <c r="D20" s="78">
        <v>1</v>
      </c>
      <c r="E20" s="114">
        <v>75000</v>
      </c>
      <c r="F20" s="116">
        <f t="shared" si="0"/>
        <v>81000</v>
      </c>
      <c r="G20" s="116">
        <f t="shared" si="1"/>
        <v>81000</v>
      </c>
    </row>
    <row r="21" spans="1:7" ht="18.75">
      <c r="A21" s="78">
        <f t="shared" si="3"/>
        <v>18</v>
      </c>
      <c r="B21" s="108" t="s">
        <v>144</v>
      </c>
      <c r="C21" s="78" t="s">
        <v>105</v>
      </c>
      <c r="D21" s="78">
        <v>1</v>
      </c>
      <c r="E21" s="114">
        <v>321000</v>
      </c>
      <c r="F21" s="116">
        <f t="shared" si="0"/>
        <v>346680</v>
      </c>
      <c r="G21" s="116">
        <f t="shared" si="1"/>
        <v>346680</v>
      </c>
    </row>
    <row r="22" spans="1:7" ht="18.75">
      <c r="A22" s="78">
        <f t="shared" si="3"/>
        <v>19</v>
      </c>
      <c r="B22" s="108" t="s">
        <v>145</v>
      </c>
      <c r="C22" s="78" t="s">
        <v>105</v>
      </c>
      <c r="D22" s="78">
        <v>1</v>
      </c>
      <c r="E22" s="114">
        <v>23000</v>
      </c>
      <c r="F22" s="116">
        <f t="shared" si="0"/>
        <v>24840</v>
      </c>
      <c r="G22" s="116">
        <f t="shared" si="1"/>
        <v>24840</v>
      </c>
    </row>
    <row r="23" spans="1:7" ht="18.75">
      <c r="A23" s="78">
        <f t="shared" si="3"/>
        <v>20</v>
      </c>
      <c r="B23" s="108" t="str">
        <f>'[1]ĐƠN GIÁ'!B53</f>
        <v>Van 1 chiều DN80</v>
      </c>
      <c r="C23" s="78" t="s">
        <v>105</v>
      </c>
      <c r="D23" s="78">
        <v>1</v>
      </c>
      <c r="E23" s="114">
        <v>895000</v>
      </c>
      <c r="F23" s="116">
        <f t="shared" si="0"/>
        <v>966600.00000000012</v>
      </c>
      <c r="G23" s="116">
        <f t="shared" si="1"/>
        <v>966600.00000000012</v>
      </c>
    </row>
    <row r="24" spans="1:7" ht="37.5">
      <c r="A24" s="78">
        <f t="shared" si="3"/>
        <v>21</v>
      </c>
      <c r="B24" s="74" t="s">
        <v>111</v>
      </c>
      <c r="C24" s="78" t="s">
        <v>105</v>
      </c>
      <c r="D24" s="78"/>
      <c r="E24" s="114">
        <v>248000</v>
      </c>
      <c r="F24" s="116">
        <f t="shared" si="0"/>
        <v>267840</v>
      </c>
      <c r="G24" s="116">
        <f t="shared" si="1"/>
        <v>0</v>
      </c>
    </row>
    <row r="25" spans="1:7" ht="37.5">
      <c r="A25" s="78">
        <f t="shared" si="3"/>
        <v>22</v>
      </c>
      <c r="B25" s="74" t="s">
        <v>112</v>
      </c>
      <c r="C25" s="78" t="s">
        <v>105</v>
      </c>
      <c r="D25" s="78"/>
      <c r="E25" s="114">
        <v>163636</v>
      </c>
      <c r="F25" s="116">
        <f t="shared" si="0"/>
        <v>176726.88</v>
      </c>
      <c r="G25" s="116">
        <f t="shared" si="1"/>
        <v>0</v>
      </c>
    </row>
    <row r="26" spans="1:7" ht="18.75">
      <c r="A26" s="78">
        <f t="shared" si="3"/>
        <v>23</v>
      </c>
      <c r="B26" s="74" t="s">
        <v>113</v>
      </c>
      <c r="C26" s="78" t="s">
        <v>105</v>
      </c>
      <c r="D26" s="78">
        <v>4</v>
      </c>
      <c r="E26" s="114">
        <v>1150000</v>
      </c>
      <c r="F26" s="116">
        <f t="shared" si="0"/>
        <v>1242000</v>
      </c>
      <c r="G26" s="116">
        <f t="shared" si="1"/>
        <v>4968000</v>
      </c>
    </row>
    <row r="27" spans="1:7" ht="18.75">
      <c r="A27" s="78">
        <f t="shared" si="3"/>
        <v>24</v>
      </c>
      <c r="B27" s="74" t="s">
        <v>114</v>
      </c>
      <c r="C27" s="78" t="s">
        <v>105</v>
      </c>
      <c r="D27" s="78"/>
      <c r="E27" s="114">
        <v>9772727</v>
      </c>
      <c r="F27" s="116">
        <f t="shared" si="0"/>
        <v>10554545.16</v>
      </c>
      <c r="G27" s="116">
        <f t="shared" si="1"/>
        <v>0</v>
      </c>
    </row>
    <row r="28" spans="1:7" ht="37.5">
      <c r="A28" s="78">
        <f t="shared" si="3"/>
        <v>25</v>
      </c>
      <c r="B28" s="74" t="s">
        <v>115</v>
      </c>
      <c r="C28" s="78" t="s">
        <v>105</v>
      </c>
      <c r="D28" s="78"/>
      <c r="E28" s="114">
        <v>30000000</v>
      </c>
      <c r="F28" s="116">
        <f t="shared" si="0"/>
        <v>32400000.000000004</v>
      </c>
      <c r="G28" s="116">
        <f t="shared" si="1"/>
        <v>0</v>
      </c>
    </row>
    <row r="29" spans="1:7" ht="37.5">
      <c r="A29" s="78">
        <f t="shared" si="3"/>
        <v>26</v>
      </c>
      <c r="B29" s="74" t="s">
        <v>116</v>
      </c>
      <c r="C29" s="78" t="s">
        <v>105</v>
      </c>
      <c r="D29" s="78"/>
      <c r="E29" s="117">
        <v>50000000</v>
      </c>
      <c r="F29" s="116">
        <f t="shared" si="0"/>
        <v>54000000</v>
      </c>
      <c r="G29" s="116">
        <f t="shared" si="1"/>
        <v>0</v>
      </c>
    </row>
    <row r="30" spans="1:7" ht="37.5">
      <c r="A30" s="78">
        <f t="shared" si="3"/>
        <v>27</v>
      </c>
      <c r="B30" s="74" t="s">
        <v>117</v>
      </c>
      <c r="C30" s="78" t="s">
        <v>105</v>
      </c>
      <c r="D30" s="78">
        <v>57</v>
      </c>
      <c r="E30" s="114">
        <v>336364</v>
      </c>
      <c r="F30" s="116">
        <f t="shared" si="0"/>
        <v>363273.12</v>
      </c>
      <c r="G30" s="116">
        <f t="shared" si="1"/>
        <v>20706567.84</v>
      </c>
    </row>
    <row r="31" spans="1:7" ht="37.5">
      <c r="A31" s="78">
        <f t="shared" si="3"/>
        <v>28</v>
      </c>
      <c r="B31" s="74" t="s">
        <v>118</v>
      </c>
      <c r="C31" s="78" t="s">
        <v>105</v>
      </c>
      <c r="D31" s="78">
        <v>70</v>
      </c>
      <c r="E31" s="114">
        <v>600000</v>
      </c>
      <c r="F31" s="116">
        <f t="shared" si="0"/>
        <v>648000</v>
      </c>
      <c r="G31" s="116">
        <f t="shared" si="1"/>
        <v>45360000</v>
      </c>
    </row>
    <row r="32" spans="1:7" ht="18.75">
      <c r="A32" s="78">
        <f t="shared" si="3"/>
        <v>29</v>
      </c>
      <c r="B32" s="74" t="s">
        <v>152</v>
      </c>
      <c r="C32" s="78" t="s">
        <v>105</v>
      </c>
      <c r="D32" s="78">
        <v>70</v>
      </c>
      <c r="E32" s="114">
        <v>104545</v>
      </c>
      <c r="F32" s="116">
        <f t="shared" si="0"/>
        <v>112908.6</v>
      </c>
      <c r="G32" s="116">
        <f t="shared" si="1"/>
        <v>7903602</v>
      </c>
    </row>
    <row r="33" spans="1:7" ht="18.75">
      <c r="A33" s="78">
        <f t="shared" si="3"/>
        <v>30</v>
      </c>
      <c r="B33" s="74" t="s">
        <v>119</v>
      </c>
      <c r="C33" s="78" t="s">
        <v>105</v>
      </c>
      <c r="D33" s="78">
        <v>70</v>
      </c>
      <c r="E33" s="114">
        <v>385000</v>
      </c>
      <c r="F33" s="116">
        <f t="shared" si="0"/>
        <v>415800</v>
      </c>
      <c r="G33" s="116">
        <f t="shared" si="1"/>
        <v>29106000</v>
      </c>
    </row>
    <row r="34" spans="1:7" ht="37.5">
      <c r="A34" s="78">
        <f t="shared" si="3"/>
        <v>31</v>
      </c>
      <c r="B34" s="74" t="s">
        <v>120</v>
      </c>
      <c r="C34" s="78" t="s">
        <v>105</v>
      </c>
      <c r="D34" s="78">
        <f>tb!I5</f>
        <v>5</v>
      </c>
      <c r="E34" s="114">
        <v>120000</v>
      </c>
      <c r="F34" s="116">
        <f t="shared" si="0"/>
        <v>129600.00000000001</v>
      </c>
      <c r="G34" s="116">
        <f t="shared" si="1"/>
        <v>648000.00000000012</v>
      </c>
    </row>
    <row r="35" spans="1:7" ht="18.75">
      <c r="A35" s="78">
        <f t="shared" si="3"/>
        <v>32</v>
      </c>
      <c r="B35" s="74" t="s">
        <v>121</v>
      </c>
      <c r="C35" s="78" t="s">
        <v>105</v>
      </c>
      <c r="D35" s="78">
        <f>tb!I6</f>
        <v>10</v>
      </c>
      <c r="E35" s="114">
        <v>150000</v>
      </c>
      <c r="F35" s="116">
        <f t="shared" si="0"/>
        <v>162000</v>
      </c>
      <c r="G35" s="116">
        <f t="shared" si="1"/>
        <v>1620000</v>
      </c>
    </row>
    <row r="36" spans="1:7" ht="18.75">
      <c r="A36" s="78">
        <f t="shared" si="3"/>
        <v>33</v>
      </c>
      <c r="B36" s="74" t="s">
        <v>122</v>
      </c>
      <c r="C36" s="78" t="s">
        <v>105</v>
      </c>
      <c r="D36" s="78">
        <f>tb!I7</f>
        <v>20</v>
      </c>
      <c r="E36" s="114">
        <v>650000</v>
      </c>
      <c r="F36" s="116">
        <f t="shared" si="0"/>
        <v>702000</v>
      </c>
      <c r="G36" s="116">
        <f t="shared" si="1"/>
        <v>14040000</v>
      </c>
    </row>
    <row r="37" spans="1:7" ht="18.75">
      <c r="A37" s="78">
        <f t="shared" si="3"/>
        <v>34</v>
      </c>
      <c r="B37" s="74" t="s">
        <v>137</v>
      </c>
      <c r="C37" s="78" t="s">
        <v>105</v>
      </c>
      <c r="D37" s="78">
        <v>11</v>
      </c>
      <c r="E37" s="114">
        <v>380000</v>
      </c>
      <c r="F37" s="116">
        <f t="shared" si="0"/>
        <v>410400</v>
      </c>
      <c r="G37" s="116">
        <f t="shared" si="1"/>
        <v>4514400</v>
      </c>
    </row>
    <row r="38" spans="1:7" ht="18.75">
      <c r="A38" s="78">
        <f t="shared" si="3"/>
        <v>35</v>
      </c>
      <c r="B38" s="74" t="s">
        <v>133</v>
      </c>
      <c r="C38" s="78" t="s">
        <v>105</v>
      </c>
      <c r="D38" s="78">
        <v>54</v>
      </c>
      <c r="E38" s="114">
        <v>380000</v>
      </c>
      <c r="F38" s="116">
        <f t="shared" si="0"/>
        <v>410400</v>
      </c>
      <c r="G38" s="116">
        <f t="shared" si="1"/>
        <v>22161600</v>
      </c>
    </row>
    <row r="39" spans="1:7" ht="18.75">
      <c r="A39" s="78">
        <f t="shared" si="3"/>
        <v>36</v>
      </c>
      <c r="B39" s="74" t="s">
        <v>123</v>
      </c>
      <c r="C39" s="78" t="s">
        <v>105</v>
      </c>
      <c r="D39" s="78"/>
      <c r="E39" s="114">
        <v>200000</v>
      </c>
      <c r="F39" s="116">
        <f t="shared" si="0"/>
        <v>216000</v>
      </c>
      <c r="G39" s="116">
        <f t="shared" si="1"/>
        <v>0</v>
      </c>
    </row>
    <row r="40" spans="1:7" ht="18.75">
      <c r="A40" s="78">
        <f t="shared" si="3"/>
        <v>37</v>
      </c>
      <c r="B40" s="74" t="s">
        <v>124</v>
      </c>
      <c r="C40" s="78" t="s">
        <v>105</v>
      </c>
      <c r="D40" s="78">
        <f>tb!I8</f>
        <v>35</v>
      </c>
      <c r="E40" s="114">
        <v>300000</v>
      </c>
      <c r="F40" s="116">
        <f t="shared" si="0"/>
        <v>324000</v>
      </c>
      <c r="G40" s="116">
        <f t="shared" si="1"/>
        <v>11340000</v>
      </c>
    </row>
    <row r="41" spans="1:7" ht="18.75">
      <c r="A41" s="78">
        <f t="shared" si="3"/>
        <v>38</v>
      </c>
      <c r="B41" s="74" t="s">
        <v>151</v>
      </c>
      <c r="C41" s="78" t="s">
        <v>105</v>
      </c>
      <c r="D41" s="78">
        <v>3</v>
      </c>
      <c r="E41" s="114">
        <v>1662000</v>
      </c>
      <c r="F41" s="116">
        <f t="shared" si="0"/>
        <v>1794960.0000000002</v>
      </c>
      <c r="G41" s="116">
        <f t="shared" si="1"/>
        <v>5384880.0000000009</v>
      </c>
    </row>
    <row r="42" spans="1:7" ht="18.75">
      <c r="B42" s="74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</vt:lpstr>
      <vt:lpstr>tb</vt:lpstr>
      <vt:lpstr>Bao gia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</cp:lastModifiedBy>
  <cp:lastPrinted>2026-08-06T04:46:04Z</cp:lastPrinted>
  <dcterms:created xsi:type="dcterms:W3CDTF">2015-06-05T18:17:20Z</dcterms:created>
  <dcterms:modified xsi:type="dcterms:W3CDTF">2026-10-16T04:11:56Z</dcterms:modified>
</cp:coreProperties>
</file>