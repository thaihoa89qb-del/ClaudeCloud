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5" yWindow="-105" windowWidth="23250" windowHeight="12450" tabRatio="600" firstSheet="0" activeTab="1" autoFilterDateGrouping="1"/>
  </bookViews>
  <sheets>
    <sheet xmlns:r="http://schemas.openxmlformats.org/officeDocument/2006/relationships" name="tb" sheetId="1" state="visible" r:id="rId1"/>
    <sheet xmlns:r="http://schemas.openxmlformats.org/officeDocument/2006/relationships" name="Bao gia" sheetId="2" state="visible" r:id="rId2"/>
  </sheets>
  <definedNames>
    <definedName name="_xlnm.Print_Area" localSheetId="1">'Bao gia'!$A$1:$J$43</definedName>
  </definedNames>
  <calcPr calcId="152511" fullCalcOnLoad="1" iterateCount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_(* #,##0_);_(* \(#,##0\);_(* &quot;-&quot;?_);_(@_)"/>
  </numFmts>
  <fonts count="12">
    <font>
      <name val="Calibri"/>
      <family val="2"/>
      <color theme="1"/>
      <sz val="11"/>
      <scheme val="minor"/>
    </font>
    <font>
      <name val="Times New Roman"/>
      <family val="1"/>
      <color theme="1"/>
      <sz val="14"/>
    </font>
    <font>
      <name val="Times New Roman"/>
      <family val="1"/>
      <b val="1"/>
      <color theme="1"/>
      <sz val="14"/>
    </font>
    <font>
      <name val="Calibri"/>
      <family val="2"/>
      <color theme="1"/>
      <sz val="11"/>
      <scheme val="minor"/>
    </font>
    <font>
      <name val=".VnTime"/>
      <family val="2"/>
      <sz val="12"/>
    </font>
    <font>
      <name val="Calibri"/>
      <family val="2"/>
      <color theme="1"/>
      <sz val="14"/>
      <scheme val="minor"/>
    </font>
    <font>
      <name val="Times New Roman"/>
      <family val="1"/>
      <sz val="14"/>
    </font>
    <font>
      <name val="Times New Roman"/>
      <family val="1"/>
      <color theme="1"/>
      <sz val="11"/>
    </font>
    <font>
      <name val="Calibri"/>
      <family val="2"/>
      <b val="1"/>
      <color theme="1"/>
      <sz val="11"/>
      <scheme val="minor"/>
    </font>
    <font>
      <name val="Times New Roman"/>
      <family val="1"/>
      <b val="1"/>
      <color theme="1"/>
      <sz val="11"/>
    </font>
    <font>
      <name val="Calibri"/>
      <family val="2"/>
      <color theme="1"/>
      <sz val="12"/>
      <scheme val="minor"/>
    </font>
    <font>
      <name val="Times New Roman"/>
      <family val="1"/>
      <b val="1"/>
      <color theme="1"/>
      <sz val="12"/>
    </font>
  </fonts>
  <fills count="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3" fillId="0" borderId="0"/>
    <xf numFmtId="43" fontId="3" fillId="0" borderId="0"/>
    <xf numFmtId="43" fontId="4" fillId="0" borderId="0"/>
    <xf numFmtId="9" fontId="3" fillId="0" borderId="0"/>
  </cellStyleXfs>
  <cellXfs count="7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164" fontId="1" fillId="0" borderId="1" pivotButton="0" quotePrefix="0" xfId="1"/>
    <xf numFmtId="165" fontId="1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6" fillId="2" borderId="1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7" fillId="0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1">
      <alignment vertical="center" wrapText="1"/>
    </xf>
    <xf numFmtId="164" fontId="6" fillId="2" borderId="1" applyAlignment="1" pivotButton="0" quotePrefix="0" xfId="0">
      <alignment vertical="center" wrapText="1"/>
    </xf>
    <xf numFmtId="164" fontId="1" fillId="0" borderId="1" applyAlignment="1" pivotButton="0" quotePrefix="0" xfId="1">
      <alignment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164" fontId="7" fillId="2" borderId="0" pivotButton="0" quotePrefix="0" xfId="1"/>
    <xf numFmtId="0" fontId="7" fillId="2" borderId="0" pivotButton="0" quotePrefix="0" xfId="0"/>
    <xf numFmtId="0" fontId="7" fillId="2" borderId="0" applyAlignment="1" pivotButton="0" quotePrefix="0" xfId="0">
      <alignment wrapText="1"/>
    </xf>
    <xf numFmtId="0" fontId="2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9" fontId="2" fillId="0" borderId="1" applyAlignment="1" pivotButton="0" quotePrefix="0" xfId="3">
      <alignment horizontal="center" vertical="center" wrapText="1"/>
    </xf>
    <xf numFmtId="9" fontId="2" fillId="0" borderId="1" applyAlignment="1" pivotButton="0" quotePrefix="0" xfId="3">
      <alignment horizontal="center"/>
    </xf>
    <xf numFmtId="9" fontId="1" fillId="0" borderId="1" applyAlignment="1" pivotButton="0" quotePrefix="0" xfId="3">
      <alignment horizontal="center"/>
    </xf>
    <xf numFmtId="9" fontId="7" fillId="0" borderId="0" applyAlignment="1" pivotButton="0" quotePrefix="0" xfId="3">
      <alignment horizontal="center"/>
    </xf>
    <xf numFmtId="0" fontId="9" fillId="0" borderId="1" applyAlignment="1" pivotButton="0" quotePrefix="0" xfId="0">
      <alignment wrapText="1"/>
    </xf>
    <xf numFmtId="0" fontId="9" fillId="0" borderId="1" pivotButton="0" quotePrefix="0" xfId="0"/>
    <xf numFmtId="0" fontId="9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9" fontId="9" fillId="0" borderId="1" applyAlignment="1" pivotButton="0" quotePrefix="0" xfId="3">
      <alignment horizontal="center"/>
    </xf>
    <xf numFmtId="164" fontId="9" fillId="0" borderId="1" pivotButton="0" quotePrefix="0" xfId="0"/>
    <xf numFmtId="0" fontId="5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/>
    </xf>
    <xf numFmtId="164" fontId="7" fillId="2" borderId="1" pivotButton="0" quotePrefix="0" xfId="1"/>
    <xf numFmtId="0" fontId="7" fillId="2" borderId="1" applyAlignment="1" pivotButton="0" quotePrefix="0" xfId="0">
      <alignment horizontal="center" vertical="center"/>
    </xf>
    <xf numFmtId="164" fontId="2" fillId="2" borderId="1" pivotButton="0" quotePrefix="0" xfId="0"/>
    <xf numFmtId="9" fontId="6" fillId="2" borderId="1" applyAlignment="1" pivotButton="0" quotePrefix="0" xfId="3">
      <alignment horizontal="center" vertical="center" wrapText="1"/>
    </xf>
    <xf numFmtId="9" fontId="0" fillId="0" borderId="0" applyAlignment="1" pivotButton="0" quotePrefix="0" xfId="3">
      <alignment horizontal="center" vertical="center"/>
    </xf>
    <xf numFmtId="9" fontId="0" fillId="0" borderId="1" applyAlignment="1" pivotButton="0" quotePrefix="0" xfId="3">
      <alignment horizontal="center" vertical="center"/>
    </xf>
    <xf numFmtId="0" fontId="10" fillId="0" borderId="0" pivotButton="0" quotePrefix="0" xfId="0"/>
    <xf numFmtId="0" fontId="11" fillId="0" borderId="1" applyAlignment="1" pivotButton="0" quotePrefix="0" xfId="0">
      <alignment horizontal="center" vertical="center" wrapText="1"/>
    </xf>
    <xf numFmtId="0" fontId="10" fillId="0" borderId="1" pivotButton="0" quotePrefix="0" xfId="0"/>
    <xf numFmtId="164" fontId="10" fillId="0" borderId="1" pivotButton="0" quotePrefix="0" xfId="0"/>
    <xf numFmtId="164" fontId="11" fillId="2" borderId="1" pivotButton="0" quotePrefix="0" xfId="0"/>
    <xf numFmtId="164" fontId="2" fillId="3" borderId="1" pivotButton="0" quotePrefix="0" xfId="0"/>
    <xf numFmtId="0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 wrapText="1"/>
    </xf>
    <xf numFmtId="164" fontId="6" fillId="4" borderId="1" applyAlignment="1" pivotButton="0" quotePrefix="0" xfId="1">
      <alignment vertical="center" wrapText="1"/>
    </xf>
    <xf numFmtId="164" fontId="6" fillId="4" borderId="1" applyAlignment="1" pivotButton="0" quotePrefix="0" xfId="0">
      <alignment vertical="center" wrapText="1"/>
    </xf>
    <xf numFmtId="9" fontId="6" fillId="4" borderId="1" applyAlignment="1" pivotButton="0" quotePrefix="0" xfId="3">
      <alignment horizontal="center" vertical="center" wrapText="1"/>
    </xf>
    <xf numFmtId="164" fontId="10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2" fillId="5" borderId="1" applyAlignment="1" pivotButton="0" quotePrefix="0" xfId="0">
      <alignment horizontal="center" vertical="center" wrapText="1"/>
    </xf>
    <xf numFmtId="164" fontId="1" fillId="5" borderId="1" pivotButton="0" quotePrefix="0" xfId="1"/>
    <xf numFmtId="164" fontId="9" fillId="5" borderId="1" pivotButton="0" quotePrefix="0" xfId="0"/>
    <xf numFmtId="164" fontId="6" fillId="5" borderId="1" applyAlignment="1" pivotButton="0" quotePrefix="0" xfId="1">
      <alignment vertical="center" wrapText="1"/>
    </xf>
    <xf numFmtId="164" fontId="1" fillId="5" borderId="1" applyAlignment="1" pivotButton="0" quotePrefix="0" xfId="1">
      <alignment vertical="center"/>
    </xf>
    <xf numFmtId="164" fontId="2" fillId="5" borderId="1" pivotButton="0" quotePrefix="0" xfId="0"/>
    <xf numFmtId="0" fontId="2" fillId="6" borderId="1" applyAlignment="1" pivotButton="0" quotePrefix="0" xfId="0">
      <alignment horizontal="center" vertical="center" wrapText="1"/>
    </xf>
    <xf numFmtId="164" fontId="1" fillId="7" borderId="1" pivotButton="0" quotePrefix="0" xfId="1"/>
    <xf numFmtId="164" fontId="1" fillId="8" borderId="1" pivotButton="0" quotePrefix="0" xfId="1"/>
    <xf numFmtId="164" fontId="9" fillId="7" borderId="1" pivotButton="0" quotePrefix="0" xfId="0"/>
    <xf numFmtId="164" fontId="6" fillId="7" borderId="1" applyAlignment="1" pivotButton="0" quotePrefix="0" xfId="1">
      <alignment vertical="center" wrapText="1"/>
    </xf>
    <xf numFmtId="164" fontId="1" fillId="7" borderId="1" applyAlignment="1" pivotButton="0" quotePrefix="0" xfId="1">
      <alignment vertical="center"/>
    </xf>
    <xf numFmtId="164" fontId="6" fillId="8" borderId="1" applyAlignment="1" pivotButton="0" quotePrefix="0" xfId="1">
      <alignment vertical="center" wrapText="1"/>
    </xf>
    <xf numFmtId="164" fontId="2" fillId="7" borderId="1" pivotButton="0" quotePrefix="0" xfId="0"/>
  </cellXfs>
  <cellStyles count="4">
    <cellStyle name="Normal" xfId="0" builtinId="0"/>
    <cellStyle name="Comma" xfId="1" builtinId="3"/>
    <cellStyle name="Comma 2" xfId="2"/>
    <cellStyle name="Percent" xfId="3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H3" sqref="H3:L3"/>
    </sheetView>
  </sheetViews>
  <sheetFormatPr baseColWidth="8" defaultRowHeight="15"/>
  <cols>
    <col width="7.28515625" customWidth="1" style="12" min="1" max="1"/>
    <col width="50.85546875" customWidth="1" style="13" min="2" max="2"/>
    <col width="8.28515625" customWidth="1" style="14" min="3" max="3"/>
    <col width="10.85546875" customWidth="1" style="14" min="4" max="4"/>
    <col width="11.42578125" customWidth="1" style="14" min="5" max="5"/>
    <col width="11" customWidth="1" style="14" min="6" max="6"/>
    <col width="11" customWidth="1" style="12" min="7" max="7"/>
    <col width="17" customWidth="1" style="14" min="8" max="9"/>
    <col width="15.85546875" customWidth="1" style="32" min="10" max="10"/>
    <col width="17.28515625" customWidth="1" style="14" min="11" max="11"/>
    <col width="13.28515625" customWidth="1" style="28" min="12" max="12"/>
    <col width="17" customWidth="1" min="13" max="13"/>
    <col width="17" customWidth="1" min="14" max="14"/>
    <col width="26" customWidth="1" min="15" max="15"/>
  </cols>
  <sheetData>
    <row r="1" ht="18.75" customHeight="1">
      <c r="A1" s="54" t="n"/>
      <c r="L1" s="54" t="n"/>
      <c r="M1" s="2" t="n"/>
      <c r="N1" s="2" t="n"/>
    </row>
    <row r="2" ht="18.75" customHeight="1">
      <c r="A2" s="54" t="n"/>
      <c r="L2" s="54" t="n"/>
      <c r="M2" s="2" t="n"/>
      <c r="N2" s="2" t="n"/>
    </row>
    <row r="3" ht="37.5" customFormat="1" customHeight="1" s="1">
      <c r="A3" s="3" t="inlineStr">
        <is>
          <t>STT</t>
        </is>
      </c>
      <c r="B3" s="3" t="inlineStr">
        <is>
          <t>Tên thiết bị</t>
        </is>
      </c>
      <c r="C3" s="3" t="inlineStr">
        <is>
          <t>Đơn vị</t>
        </is>
      </c>
      <c r="D3" s="3" t="n"/>
      <c r="E3" s="3" t="n"/>
      <c r="F3" s="3" t="n"/>
      <c r="G3" s="3" t="inlineStr">
        <is>
          <t>Tổng số lượng</t>
        </is>
      </c>
      <c r="H3" s="3" t="inlineStr">
        <is>
          <t>Đơn giá trước thuế</t>
        </is>
      </c>
      <c r="I3" s="3" t="inlineStr">
        <is>
          <t>Thành tiền trước thuế</t>
        </is>
      </c>
      <c r="J3" s="29" t="inlineStr">
        <is>
          <t>Thuế suất</t>
        </is>
      </c>
      <c r="K3" s="3" t="inlineStr">
        <is>
          <t xml:space="preserve">Tiền thuế </t>
        </is>
      </c>
      <c r="L3" s="3" t="inlineStr">
        <is>
          <t>NSX</t>
        </is>
      </c>
      <c r="M3" s="71" t="inlineStr">
        <is>
          <t>Giá vốn vật tư (đơn giá)</t>
        </is>
      </c>
      <c r="N3" s="71" t="inlineStr">
        <is>
          <t>Giá vốn nhân công (đơn giá)</t>
        </is>
      </c>
      <c r="O3" s="65" t="inlineStr">
        <is>
          <t>Đơn giá đề xuất (trước thuế)</t>
        </is>
      </c>
    </row>
    <row r="4" ht="18.75" customHeight="1">
      <c r="A4" s="7" t="inlineStr">
        <is>
          <t>I</t>
        </is>
      </c>
      <c r="B4" s="8" t="inlineStr">
        <is>
          <t>Thiết bị</t>
        </is>
      </c>
      <c r="C4" s="8" t="n"/>
      <c r="D4" s="8" t="n"/>
      <c r="E4" s="8" t="n"/>
      <c r="F4" s="8" t="n"/>
      <c r="G4" s="7" t="n"/>
      <c r="H4" s="9" t="n"/>
      <c r="I4" s="9" t="n"/>
      <c r="J4" s="30" t="n"/>
      <c r="K4" s="10" t="n"/>
      <c r="L4" s="27" t="n"/>
    </row>
    <row r="5" ht="37.5" customHeight="1">
      <c r="A5" s="4" t="n">
        <v>1</v>
      </c>
      <c r="B5" s="11" t="inlineStr">
        <is>
          <t>Máy bơm chữa cháy động cơ điện Q: 45m3/h - H: 40m.c.n</t>
        </is>
      </c>
      <c r="C5" s="4" t="inlineStr">
        <is>
          <t>cái</t>
        </is>
      </c>
      <c r="D5" s="4" t="n">
        <v>1</v>
      </c>
      <c r="E5" s="4" t="n">
        <v>1</v>
      </c>
      <c r="F5" s="4" t="n">
        <v>1</v>
      </c>
      <c r="G5" s="4">
        <f>D5+E5+F5</f>
        <v/>
      </c>
      <c r="H5" s="5" t="n">
        <v>13000000</v>
      </c>
      <c r="I5" s="5">
        <f>H5*G5</f>
        <v/>
      </c>
      <c r="J5" s="31" t="n">
        <v>0.08</v>
      </c>
      <c r="K5" s="6">
        <f>I5*J5</f>
        <v/>
      </c>
      <c r="L5" s="27" t="inlineStr">
        <is>
          <t>VN-TQ</t>
        </is>
      </c>
      <c r="M5" s="72" t="n">
        <v>15400000</v>
      </c>
      <c r="N5" s="72" t="n">
        <v>3000000</v>
      </c>
      <c r="O5" s="66" t="n">
        <v>24234000</v>
      </c>
    </row>
    <row r="6" ht="37.5" customHeight="1">
      <c r="A6" s="4" t="n">
        <v>2</v>
      </c>
      <c r="B6" s="11" t="inlineStr">
        <is>
          <t>Máy bơm chữa cháy động cơ nhiên liệu Q: 45m3/h - H: 40m.c.n</t>
        </is>
      </c>
      <c r="C6" s="4" t="inlineStr">
        <is>
          <t>cái</t>
        </is>
      </c>
      <c r="D6" s="4" t="n">
        <v>1</v>
      </c>
      <c r="E6" s="4" t="n">
        <v>1</v>
      </c>
      <c r="F6" s="4" t="n">
        <v>1</v>
      </c>
      <c r="G6" s="4">
        <f>D6+E6+F6</f>
        <v/>
      </c>
      <c r="H6" s="5" t="n">
        <v>20100000</v>
      </c>
      <c r="I6" s="5">
        <f>H6*G6</f>
        <v/>
      </c>
      <c r="J6" s="31" t="n">
        <v>0.08</v>
      </c>
      <c r="K6" s="6">
        <f>I6*J6</f>
        <v/>
      </c>
      <c r="L6" s="27" t="inlineStr">
        <is>
          <t>VN-TQ</t>
        </is>
      </c>
      <c r="M6" s="72" t="n">
        <v>27720000</v>
      </c>
      <c r="N6" s="72" t="n">
        <v>3000000</v>
      </c>
      <c r="O6" s="66" t="n">
        <v>43621000</v>
      </c>
    </row>
    <row r="7" ht="37.5" customHeight="1">
      <c r="A7" s="4" t="n">
        <v>3</v>
      </c>
      <c r="B7" s="11" t="inlineStr">
        <is>
          <t>Bộ nội quy tiêu lệnh chữa cháy - Chất liệu bằng tôn</t>
        </is>
      </c>
      <c r="C7" s="4" t="inlineStr">
        <is>
          <t>cái</t>
        </is>
      </c>
      <c r="D7" s="4" t="n">
        <v>5</v>
      </c>
      <c r="E7" s="4" t="n">
        <v>4</v>
      </c>
      <c r="F7" s="4" t="n">
        <v>6</v>
      </c>
      <c r="G7" s="4">
        <f>D7+E7+F7</f>
        <v/>
      </c>
      <c r="H7" s="5" t="n">
        <v>40000</v>
      </c>
      <c r="I7" s="5">
        <f>H7*G7</f>
        <v/>
      </c>
      <c r="J7" s="31" t="n">
        <v>0.08</v>
      </c>
      <c r="K7" s="6">
        <f>I7*J7</f>
        <v/>
      </c>
      <c r="L7" s="27" t="inlineStr">
        <is>
          <t>VN</t>
        </is>
      </c>
      <c r="M7" s="72" t="n">
        <v>53000</v>
      </c>
      <c r="N7" s="72" t="n">
        <v>50000</v>
      </c>
      <c r="O7" s="66" t="n">
        <v>163000</v>
      </c>
    </row>
    <row r="8" ht="18.75" customHeight="1">
      <c r="A8" s="4" t="n">
        <v>4</v>
      </c>
      <c r="B8" s="11" t="inlineStr">
        <is>
          <t>Kệ đỡ bình chữa cháy</t>
        </is>
      </c>
      <c r="C8" s="4" t="inlineStr">
        <is>
          <t>cái</t>
        </is>
      </c>
      <c r="D8" s="4" t="n">
        <v>5</v>
      </c>
      <c r="E8" s="4" t="n">
        <v>4</v>
      </c>
      <c r="F8" s="4" t="n">
        <v>5</v>
      </c>
      <c r="G8" s="4">
        <f>D8+E8+F8</f>
        <v/>
      </c>
      <c r="H8" s="5" t="n">
        <v>110000</v>
      </c>
      <c r="I8" s="5">
        <f>H8*G8</f>
        <v/>
      </c>
      <c r="J8" s="31" t="n">
        <v>0.1</v>
      </c>
      <c r="K8" s="6">
        <f>I8*J8</f>
        <v/>
      </c>
      <c r="L8" s="27" t="inlineStr">
        <is>
          <t>VN</t>
        </is>
      </c>
      <c r="M8" s="72" t="n">
        <v>137000</v>
      </c>
      <c r="N8" s="73" t="n">
        <v>31538</v>
      </c>
      <c r="O8" s="66" t="n">
        <v>216000</v>
      </c>
    </row>
    <row r="9" ht="18.75" customHeight="1">
      <c r="A9" s="4" t="n">
        <v>5</v>
      </c>
      <c r="B9" s="11" t="inlineStr">
        <is>
          <t>BÌNH BỘT ABC 8KG</t>
        </is>
      </c>
      <c r="C9" s="4" t="inlineStr">
        <is>
          <t>cái</t>
        </is>
      </c>
      <c r="D9" s="4" t="n">
        <v>10</v>
      </c>
      <c r="E9" s="4" t="n">
        <v>8</v>
      </c>
      <c r="F9" s="4" t="n">
        <v>10</v>
      </c>
      <c r="G9" s="4">
        <f>D9+E9+F9</f>
        <v/>
      </c>
      <c r="H9" s="5" t="n">
        <v>550000</v>
      </c>
      <c r="I9" s="5">
        <f>H9*G9</f>
        <v/>
      </c>
      <c r="J9" s="31" t="n">
        <v>0.08</v>
      </c>
      <c r="K9" s="6">
        <f>I9*J9</f>
        <v/>
      </c>
      <c r="L9" s="27" t="inlineStr">
        <is>
          <t>VN</t>
        </is>
      </c>
      <c r="M9" s="72" t="n">
        <v>652000</v>
      </c>
      <c r="N9" s="73" t="n">
        <v>10769</v>
      </c>
      <c r="O9" s="66" t="n">
        <v>1027000</v>
      </c>
    </row>
    <row r="10" ht="18.75" customHeight="1">
      <c r="A10" s="4" t="n">
        <v>6</v>
      </c>
      <c r="B10" s="11" t="inlineStr">
        <is>
          <t>Sơ đồ chỉ dẫn thoát hiểm 400x600</t>
        </is>
      </c>
      <c r="C10" s="4" t="inlineStr">
        <is>
          <t>cái</t>
        </is>
      </c>
      <c r="D10" s="15" t="n"/>
      <c r="E10" s="4" t="n">
        <v>2</v>
      </c>
      <c r="F10" s="15" t="n">
        <v>3</v>
      </c>
      <c r="G10" s="4">
        <f>D10+E10+F10</f>
        <v/>
      </c>
      <c r="H10" s="5" t="n">
        <v>150000</v>
      </c>
      <c r="I10" s="5">
        <f>H10*G10</f>
        <v/>
      </c>
      <c r="J10" s="31" t="n">
        <v>0.08</v>
      </c>
      <c r="K10" s="6">
        <f>I10*J10</f>
        <v/>
      </c>
      <c r="L10" s="27" t="inlineStr">
        <is>
          <t>VN</t>
        </is>
      </c>
      <c r="M10" s="72" t="n">
        <v>442000</v>
      </c>
      <c r="N10" s="72" t="n">
        <v>50000</v>
      </c>
      <c r="O10" s="66" t="n">
        <v>775000</v>
      </c>
    </row>
    <row r="11" ht="18.75" customHeight="1">
      <c r="B11" s="33" t="inlineStr">
        <is>
          <t>TỔNG TRƯỚC THUẾ</t>
        </is>
      </c>
      <c r="C11" s="9" t="n"/>
      <c r="D11" s="34" t="n"/>
      <c r="E11" s="34" t="n"/>
      <c r="F11" s="34" t="n"/>
      <c r="G11" s="35" t="n"/>
      <c r="H11" s="34" t="n"/>
      <c r="I11" s="38">
        <f>SUM(I5:I10)</f>
        <v/>
      </c>
      <c r="J11" s="38" t="n"/>
      <c r="K11" s="38">
        <f>SUM(K5:K10)</f>
        <v/>
      </c>
      <c r="L11" s="38">
        <f>SUM(L5:L10)</f>
        <v/>
      </c>
      <c r="M11" s="74">
        <f>SUMPRODUCT(G5:G10,M5:M10)</f>
        <v/>
      </c>
      <c r="N11" s="74">
        <f>SUMPRODUCT(G5:G10,N5:N10)</f>
        <v/>
      </c>
      <c r="O11" s="67">
        <f>SUMPRODUCT(G5:G10,O5:O10)</f>
        <v/>
      </c>
    </row>
    <row r="12">
      <c r="B12" s="33" t="inlineStr">
        <is>
          <t>TỔNG SAU THUẾ</t>
        </is>
      </c>
      <c r="C12" s="34" t="n"/>
      <c r="D12" s="34" t="n"/>
      <c r="E12" s="34" t="n"/>
      <c r="F12" s="34" t="n"/>
      <c r="G12" s="35" t="n"/>
      <c r="H12" s="34" t="n"/>
      <c r="I12" s="38">
        <f>I11+K11</f>
        <v/>
      </c>
      <c r="J12" s="37" t="n"/>
      <c r="K12" s="34" t="n"/>
      <c r="L12" s="36" t="n"/>
      <c r="M12" s="74" t="n"/>
      <c r="N12" s="74" t="n"/>
      <c r="O12" s="67">
        <f>O11+SUMPRODUCT(G5:G10,O5:O10,J5:J10)</f>
        <v/>
      </c>
    </row>
  </sheetData>
  <mergeCells count="2">
    <mergeCell ref="A2:K2"/>
    <mergeCell ref="A1:K1"/>
  </mergeCells>
  <pageMargins left="0.7" right="0.7" top="0.75" bottom="0.75" header="0.3" footer="0.3"/>
  <pageSetup orientation="landscape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tabSelected="1" view="pageBreakPreview" zoomScaleNormal="100" zoomScaleSheetLayoutView="100" workbookViewId="0">
      <selection activeCell="J19" sqref="J19"/>
    </sheetView>
  </sheetViews>
  <sheetFormatPr baseColWidth="8" defaultRowHeight="18.75"/>
  <cols>
    <col width="7.28515625" customWidth="1" style="21" min="1" max="1"/>
    <col width="50.85546875" customWidth="1" style="25" min="2" max="2"/>
    <col width="8.28515625" customWidth="1" style="22" min="3" max="3"/>
    <col width="13.42578125" customWidth="1" style="22" min="4" max="4"/>
    <col width="17.85546875" customWidth="1" style="23" min="5" max="5"/>
    <col width="18.7109375" customWidth="1" style="24" min="6" max="6"/>
    <col width="12.140625" bestFit="1" customWidth="1" style="46" min="7" max="7"/>
    <col width="14.42578125" customWidth="1" style="48" min="8" max="8"/>
    <col width="15.85546875" customWidth="1" style="39" min="9" max="9"/>
    <col width="14.28515625" customWidth="1" min="10" max="10"/>
    <col width="17" customWidth="1" min="11" max="11"/>
    <col width="17" customWidth="1" min="12" max="12"/>
    <col width="26" customWidth="1" min="13" max="13"/>
  </cols>
  <sheetData>
    <row r="1">
      <c r="A1" s="55" t="inlineStr">
        <is>
          <t>BẢNG TỔNG HỢP THIẾT BỊ</t>
        </is>
      </c>
    </row>
    <row r="2">
      <c r="A2" s="56" t="n"/>
    </row>
    <row r="3" ht="37.5" customHeight="1">
      <c r="A3" s="16" t="inlineStr">
        <is>
          <t>STT</t>
        </is>
      </c>
      <c r="B3" s="16" t="inlineStr">
        <is>
          <t>Tên thiết bị</t>
        </is>
      </c>
      <c r="C3" s="16" t="inlineStr">
        <is>
          <t>Đơn vị</t>
        </is>
      </c>
      <c r="D3" s="16" t="inlineStr">
        <is>
          <t>Khối lượng</t>
        </is>
      </c>
      <c r="E3" s="3" t="inlineStr">
        <is>
          <t>Đơn giá trước thuế</t>
        </is>
      </c>
      <c r="F3" s="3" t="inlineStr">
        <is>
          <t>Thành tiền trước thuế</t>
        </is>
      </c>
      <c r="G3" s="29" t="inlineStr">
        <is>
          <t>Thuế suất</t>
        </is>
      </c>
      <c r="H3" s="49" t="inlineStr">
        <is>
          <t xml:space="preserve">Tiền thuế </t>
        </is>
      </c>
      <c r="I3" s="3" t="inlineStr">
        <is>
          <t>NSX</t>
        </is>
      </c>
      <c r="K3" s="71" t="inlineStr">
        <is>
          <t>Giá vốn vật tư (đơn giá)</t>
        </is>
      </c>
      <c r="L3" s="71" t="inlineStr">
        <is>
          <t>Giá vốn nhân công (đơn giá)</t>
        </is>
      </c>
      <c r="M3" s="65" t="inlineStr">
        <is>
          <t>Đơn giá đề xuất (trước thuế)</t>
        </is>
      </c>
    </row>
    <row r="4">
      <c r="A4" s="17" t="n">
        <v>1</v>
      </c>
      <c r="B4" s="11" t="inlineStr">
        <is>
          <t>Trung tâm báo cháy 8 kênh bao gồm Acquy</t>
        </is>
      </c>
      <c r="C4" s="17" t="inlineStr">
        <is>
          <t>cái</t>
        </is>
      </c>
      <c r="D4" s="17" t="n">
        <v>2</v>
      </c>
      <c r="E4" s="18" t="n">
        <v>6500000</v>
      </c>
      <c r="F4" s="19">
        <f>D4*E4</f>
        <v/>
      </c>
      <c r="G4" s="45" t="n">
        <v>0.08</v>
      </c>
      <c r="H4" s="51">
        <f>F4*G4</f>
        <v/>
      </c>
      <c r="I4" s="40" t="inlineStr">
        <is>
          <t>Taiwan</t>
        </is>
      </c>
      <c r="K4" s="75" t="n">
        <v>7500000</v>
      </c>
      <c r="L4" s="75" t="n">
        <v>1000000</v>
      </c>
      <c r="M4" s="68" t="n">
        <v>11803000</v>
      </c>
    </row>
    <row r="5">
      <c r="A5" s="17">
        <f>A4+1</f>
        <v/>
      </c>
      <c r="B5" s="11" t="inlineStr">
        <is>
          <t>Trung tâm báo cháy 5 kênh bao gồm Acquy</t>
        </is>
      </c>
      <c r="C5" s="17" t="inlineStr">
        <is>
          <t>cái</t>
        </is>
      </c>
      <c r="D5" s="17" t="n">
        <v>1</v>
      </c>
      <c r="E5" s="18" t="n">
        <v>5500000</v>
      </c>
      <c r="F5" s="19">
        <f>D5*E5</f>
        <v/>
      </c>
      <c r="G5" s="45" t="n">
        <v>0.08</v>
      </c>
      <c r="H5" s="51">
        <f>F5*G5</f>
        <v/>
      </c>
      <c r="I5" s="40" t="inlineStr">
        <is>
          <t>Taiwan</t>
        </is>
      </c>
      <c r="K5" s="75" t="n">
        <v>6150000</v>
      </c>
      <c r="L5" s="75" t="n">
        <v>1000000</v>
      </c>
      <c r="M5" s="68" t="n">
        <v>9678000</v>
      </c>
    </row>
    <row r="6">
      <c r="A6" s="17">
        <f>A5+1</f>
        <v/>
      </c>
      <c r="B6" s="11" t="inlineStr">
        <is>
          <t>Còi đèn báo cháy kết hợp</t>
        </is>
      </c>
      <c r="C6" s="17" t="inlineStr">
        <is>
          <t>cái</t>
        </is>
      </c>
      <c r="D6" s="17" t="n">
        <v>17</v>
      </c>
      <c r="E6" s="18" t="n">
        <v>250000</v>
      </c>
      <c r="F6" s="19">
        <f>D6*E6</f>
        <v/>
      </c>
      <c r="G6" s="45" t="n">
        <v>0.08</v>
      </c>
      <c r="H6" s="51">
        <f>F6*G6</f>
        <v/>
      </c>
      <c r="I6" s="40" t="inlineStr">
        <is>
          <t>TQ</t>
        </is>
      </c>
      <c r="K6" s="75" t="n">
        <v>252000</v>
      </c>
      <c r="L6" s="75" t="n">
        <v>100000</v>
      </c>
      <c r="M6" s="68" t="n">
        <v>397000</v>
      </c>
    </row>
    <row r="7">
      <c r="A7" s="17">
        <f>A6+1</f>
        <v/>
      </c>
      <c r="B7" s="11" t="inlineStr">
        <is>
          <t>Nút ấn khẩn tròn lắp nổi</t>
        </is>
      </c>
      <c r="C7" s="17" t="inlineStr">
        <is>
          <t>cái</t>
        </is>
      </c>
      <c r="D7" s="17" t="n">
        <v>17</v>
      </c>
      <c r="E7" s="18" t="n">
        <v>200000</v>
      </c>
      <c r="F7" s="19">
        <f>D7*E7</f>
        <v/>
      </c>
      <c r="G7" s="45" t="n">
        <v>0.08</v>
      </c>
      <c r="H7" s="51">
        <f>F7*G7</f>
        <v/>
      </c>
      <c r="I7" s="40" t="inlineStr">
        <is>
          <t>TQ</t>
        </is>
      </c>
      <c r="K7" s="75" t="n">
        <v>205000</v>
      </c>
      <c r="L7" s="75" t="n">
        <v>100000</v>
      </c>
      <c r="M7" s="68" t="n">
        <v>323000</v>
      </c>
    </row>
    <row r="8">
      <c r="A8" s="17">
        <f>A7+1</f>
        <v/>
      </c>
      <c r="B8" s="11" t="inlineStr">
        <is>
          <t>Đầu báo khói quang 24VDC</t>
        </is>
      </c>
      <c r="C8" s="17" t="inlineStr">
        <is>
          <t>cái</t>
        </is>
      </c>
      <c r="D8" s="17" t="n">
        <v>166</v>
      </c>
      <c r="E8" s="18" t="n">
        <v>250000</v>
      </c>
      <c r="F8" s="19">
        <f>D8*E8</f>
        <v/>
      </c>
      <c r="G8" s="45" t="n">
        <v>0.08</v>
      </c>
      <c r="H8" s="51">
        <f>F8*G8</f>
        <v/>
      </c>
      <c r="I8" s="40" t="inlineStr">
        <is>
          <t>Taiwan</t>
        </is>
      </c>
      <c r="K8" s="75" t="n">
        <v>242000</v>
      </c>
      <c r="L8" s="75" t="n">
        <v>100000</v>
      </c>
      <c r="M8" s="68" t="n">
        <v>381000</v>
      </c>
    </row>
    <row r="9">
      <c r="A9" s="17">
        <f>A8+1</f>
        <v/>
      </c>
      <c r="B9" s="11" t="inlineStr">
        <is>
          <t>Đèn báo phòng</t>
        </is>
      </c>
      <c r="C9" s="17" t="inlineStr">
        <is>
          <t>cái</t>
        </is>
      </c>
      <c r="D9" s="17" t="n">
        <v>46</v>
      </c>
      <c r="E9" s="18" t="n">
        <v>50000</v>
      </c>
      <c r="F9" s="19">
        <f>D9*E9</f>
        <v/>
      </c>
      <c r="G9" s="45" t="n">
        <v>0.08</v>
      </c>
      <c r="H9" s="51">
        <f>F9*G9</f>
        <v/>
      </c>
      <c r="I9" s="40" t="inlineStr">
        <is>
          <t>VN</t>
        </is>
      </c>
      <c r="K9" s="75" t="n">
        <v>116000</v>
      </c>
      <c r="L9" s="75" t="n">
        <v>100000</v>
      </c>
      <c r="M9" s="68" t="n">
        <v>183000</v>
      </c>
    </row>
    <row r="10" customFormat="1" s="64">
      <c r="A10" s="57">
        <f>A9+1</f>
        <v/>
      </c>
      <c r="B10" s="58" t="inlineStr">
        <is>
          <t>Đầu báo nhiệt cố định 70 độ C</t>
        </is>
      </c>
      <c r="C10" s="57" t="inlineStr">
        <is>
          <t>cái</t>
        </is>
      </c>
      <c r="D10" s="57" t="n">
        <v>3</v>
      </c>
      <c r="E10" s="59" t="n"/>
      <c r="F10" s="60">
        <f>D10*E10</f>
        <v/>
      </c>
      <c r="G10" s="61" t="n"/>
      <c r="H10" s="62">
        <f>F10*G10</f>
        <v/>
      </c>
      <c r="I10" s="63" t="n"/>
      <c r="J10" s="64" t="inlineStr">
        <is>
          <t>Thiếu báo giá</t>
        </is>
      </c>
      <c r="K10" s="75" t="n">
        <v>158000</v>
      </c>
      <c r="L10" s="75" t="n">
        <v>100000</v>
      </c>
      <c r="M10" s="68" t="n">
        <v>249000</v>
      </c>
    </row>
    <row r="11">
      <c r="A11" s="17">
        <f>A10+1</f>
        <v/>
      </c>
      <c r="B11" s="11" t="inlineStr">
        <is>
          <t>Cọc tiếp địa mạ đồng D16 L=2,4m</t>
        </is>
      </c>
      <c r="C11" s="17" t="inlineStr">
        <is>
          <t>cái</t>
        </is>
      </c>
      <c r="D11" s="17" t="n">
        <v>3</v>
      </c>
      <c r="E11" s="18" t="n">
        <v>280000</v>
      </c>
      <c r="F11" s="19">
        <f>D11*E11</f>
        <v/>
      </c>
      <c r="G11" s="45" t="n">
        <v>0.1</v>
      </c>
      <c r="H11" s="51">
        <f>F11*G11</f>
        <v/>
      </c>
      <c r="I11" s="40" t="inlineStr">
        <is>
          <t>Ấn độ</t>
        </is>
      </c>
      <c r="K11" s="75" t="n">
        <v>252000</v>
      </c>
      <c r="L11" s="75" t="n">
        <v>20000</v>
      </c>
      <c r="M11" s="68" t="n">
        <v>397000</v>
      </c>
    </row>
    <row r="12">
      <c r="A12" s="17">
        <f>A11+1</f>
        <v/>
      </c>
      <c r="B12" s="11" t="inlineStr">
        <is>
          <t>Co thép đen hàn DN65</t>
        </is>
      </c>
      <c r="C12" s="17" t="inlineStr">
        <is>
          <t>cái</t>
        </is>
      </c>
      <c r="D12" s="17" t="n">
        <v>40</v>
      </c>
      <c r="E12" s="18" t="n">
        <v>65000</v>
      </c>
      <c r="F12" s="19">
        <f>D12*E12</f>
        <v/>
      </c>
      <c r="G12" s="45" t="n">
        <v>0.1</v>
      </c>
      <c r="H12" s="51">
        <f>F12*G12</f>
        <v/>
      </c>
      <c r="I12" s="40" t="inlineStr">
        <is>
          <t>TQ</t>
        </is>
      </c>
      <c r="K12" s="75" t="n">
        <v>53000</v>
      </c>
      <c r="L12" s="75" t="n">
        <v>25000</v>
      </c>
      <c r="M12" s="68" t="n">
        <v>84000</v>
      </c>
    </row>
    <row r="13">
      <c r="A13" s="17">
        <f>A12+1</f>
        <v/>
      </c>
      <c r="B13" s="11" t="inlineStr">
        <is>
          <t>Co thép đen hàn DN50</t>
        </is>
      </c>
      <c r="C13" s="17" t="inlineStr">
        <is>
          <t>cái</t>
        </is>
      </c>
      <c r="D13" s="17" t="n">
        <v>90</v>
      </c>
      <c r="E13" s="18" t="n">
        <v>50000</v>
      </c>
      <c r="F13" s="19">
        <f>D13*E13</f>
        <v/>
      </c>
      <c r="G13" s="45" t="n">
        <v>0.1</v>
      </c>
      <c r="H13" s="51">
        <f>F13*G13</f>
        <v/>
      </c>
      <c r="I13" s="40" t="inlineStr">
        <is>
          <t>TQ</t>
        </is>
      </c>
      <c r="K13" s="75" t="n">
        <v>42000</v>
      </c>
      <c r="L13" s="75" t="n">
        <v>25000</v>
      </c>
      <c r="M13" s="68" t="n">
        <v>67000</v>
      </c>
    </row>
    <row r="14">
      <c r="A14" s="17">
        <f>A13+1</f>
        <v/>
      </c>
      <c r="B14" s="11" t="inlineStr">
        <is>
          <t>Tê thép đen hàn DN65</t>
        </is>
      </c>
      <c r="C14" s="17" t="inlineStr">
        <is>
          <t>cái</t>
        </is>
      </c>
      <c r="D14" s="17" t="n">
        <v>30</v>
      </c>
      <c r="E14" s="18" t="n">
        <v>165000</v>
      </c>
      <c r="F14" s="19">
        <f>D14*E14</f>
        <v/>
      </c>
      <c r="G14" s="45" t="n">
        <v>0.1</v>
      </c>
      <c r="H14" s="51">
        <f>F14*G14</f>
        <v/>
      </c>
      <c r="I14" s="40" t="inlineStr">
        <is>
          <t>TQ</t>
        </is>
      </c>
      <c r="K14" s="75" t="n">
        <v>95000</v>
      </c>
      <c r="L14" s="75" t="n">
        <v>25000</v>
      </c>
      <c r="M14" s="68" t="n">
        <v>150000</v>
      </c>
    </row>
    <row r="15">
      <c r="A15" s="17">
        <f>A14+1</f>
        <v/>
      </c>
      <c r="B15" s="11" t="inlineStr">
        <is>
          <t>Tê giảm thép đen hàn DN65</t>
        </is>
      </c>
      <c r="C15" s="17" t="inlineStr">
        <is>
          <t>cái</t>
        </is>
      </c>
      <c r="D15" s="17" t="n"/>
      <c r="E15" s="18" t="n"/>
      <c r="F15" s="19">
        <f>D15*E15</f>
        <v/>
      </c>
      <c r="G15" s="45" t="n">
        <v>0.1</v>
      </c>
      <c r="H15" s="51">
        <f>F15*G15</f>
        <v/>
      </c>
      <c r="I15" s="40" t="inlineStr">
        <is>
          <t>TQ</t>
        </is>
      </c>
      <c r="K15" s="75" t="n"/>
      <c r="L15" s="75" t="n"/>
      <c r="M15" s="68" t="n"/>
    </row>
    <row r="16">
      <c r="A16" s="17">
        <f>A15+1</f>
        <v/>
      </c>
      <c r="B16" s="11" t="inlineStr">
        <is>
          <t>Tê thép hàn tráng kẽm DN50</t>
        </is>
      </c>
      <c r="C16" s="17" t="inlineStr">
        <is>
          <t>cái</t>
        </is>
      </c>
      <c r="D16" s="17" t="n">
        <v>18</v>
      </c>
      <c r="E16" s="18" t="n">
        <v>150000</v>
      </c>
      <c r="F16" s="19">
        <f>D16*E16</f>
        <v/>
      </c>
      <c r="G16" s="45" t="n">
        <v>0.1</v>
      </c>
      <c r="H16" s="51">
        <f>F16*G16</f>
        <v/>
      </c>
      <c r="I16" s="40" t="inlineStr">
        <is>
          <t>TQ</t>
        </is>
      </c>
      <c r="K16" s="75" t="n">
        <v>75000</v>
      </c>
      <c r="L16" s="75" t="n">
        <v>25000</v>
      </c>
      <c r="M16" s="68" t="n">
        <v>119000</v>
      </c>
    </row>
    <row r="17" ht="37.5" customHeight="1">
      <c r="A17" s="17">
        <f>A16+1</f>
        <v/>
      </c>
      <c r="B17" s="11" t="inlineStr">
        <is>
          <t>Mặt bích thép đen DN65 + bulong + roăng su</t>
        </is>
      </c>
      <c r="C17" s="17" t="inlineStr">
        <is>
          <t>cái</t>
        </is>
      </c>
      <c r="D17" s="17" t="n">
        <v>60</v>
      </c>
      <c r="E17" s="18" t="n">
        <v>76000</v>
      </c>
      <c r="F17" s="19">
        <f>D17*E17</f>
        <v/>
      </c>
      <c r="G17" s="45" t="n">
        <v>0.1</v>
      </c>
      <c r="H17" s="51">
        <f>F17*G17</f>
        <v/>
      </c>
      <c r="I17" s="40" t="inlineStr">
        <is>
          <t>TQ</t>
        </is>
      </c>
      <c r="K17" s="75" t="n">
        <v>110000</v>
      </c>
      <c r="L17" s="75" t="n">
        <v>25000</v>
      </c>
      <c r="M17" s="68" t="n">
        <v>126000</v>
      </c>
    </row>
    <row r="18" ht="37.5" customHeight="1">
      <c r="A18" s="17">
        <f>A17+1</f>
        <v/>
      </c>
      <c r="B18" s="11" t="inlineStr">
        <is>
          <t>Đồng hồ áp xuất kèm xi phông, van khóa và socket</t>
        </is>
      </c>
      <c r="C18" s="17" t="inlineStr">
        <is>
          <t>cái</t>
        </is>
      </c>
      <c r="D18" s="17" t="n">
        <v>7</v>
      </c>
      <c r="E18" s="18" t="n">
        <v>600000</v>
      </c>
      <c r="F18" s="19">
        <f>D18*E18</f>
        <v/>
      </c>
      <c r="G18" s="45" t="n">
        <v>0.08</v>
      </c>
      <c r="H18" s="51">
        <f>F18*G18</f>
        <v/>
      </c>
      <c r="I18" s="40" t="inlineStr">
        <is>
          <t>TQ</t>
        </is>
      </c>
      <c r="K18" s="75" t="n">
        <v>300000</v>
      </c>
      <c r="L18" s="75" t="n">
        <v>100000</v>
      </c>
      <c r="M18" s="68" t="n">
        <v>473000</v>
      </c>
    </row>
    <row r="19">
      <c r="A19" s="57">
        <f>A18+1</f>
        <v/>
      </c>
      <c r="B19" s="58" t="inlineStr">
        <is>
          <t>Rơ le kiểm tra mực nước</t>
        </is>
      </c>
      <c r="C19" s="57" t="inlineStr">
        <is>
          <t>cái</t>
        </is>
      </c>
      <c r="D19" s="57" t="n">
        <v>3</v>
      </c>
      <c r="E19" s="59" t="n"/>
      <c r="F19" s="60">
        <f>D19*E19</f>
        <v/>
      </c>
      <c r="G19" s="61" t="n">
        <v>0.08</v>
      </c>
      <c r="H19" s="62">
        <f>F19*G19</f>
        <v/>
      </c>
      <c r="I19" s="63" t="inlineStr">
        <is>
          <t>TQ</t>
        </is>
      </c>
      <c r="J19" s="64" t="inlineStr">
        <is>
          <t>Thiếu báo giá</t>
        </is>
      </c>
      <c r="K19" s="75" t="n">
        <v>2205000</v>
      </c>
      <c r="L19" s="75" t="n">
        <v>150000</v>
      </c>
      <c r="M19" s="68" t="n">
        <v>3470000</v>
      </c>
    </row>
    <row r="20" ht="24" customHeight="1">
      <c r="A20" s="17">
        <f>A19+1</f>
        <v/>
      </c>
      <c r="B20" s="11" t="inlineStr">
        <is>
          <t>Tủ điều khiển máy bơm</t>
        </is>
      </c>
      <c r="C20" s="17" t="inlineStr">
        <is>
          <t>cái</t>
        </is>
      </c>
      <c r="D20" s="17" t="n">
        <v>3</v>
      </c>
      <c r="E20" s="18" t="n">
        <v>6500000</v>
      </c>
      <c r="F20" s="19">
        <f>D20*E20</f>
        <v/>
      </c>
      <c r="G20" s="45" t="n">
        <v>0.08</v>
      </c>
      <c r="H20" s="51">
        <f>F20*G20</f>
        <v/>
      </c>
      <c r="I20" s="40" t="inlineStr">
        <is>
          <t>TQ</t>
        </is>
      </c>
      <c r="K20" s="75" t="n">
        <v>5500000</v>
      </c>
      <c r="L20" s="75" t="n">
        <v>500000</v>
      </c>
      <c r="M20" s="68" t="n">
        <v>8655000</v>
      </c>
    </row>
    <row r="21" ht="37.5" customHeight="1">
      <c r="A21" s="17">
        <f>A20+1</f>
        <v/>
      </c>
      <c r="B21" s="11" t="inlineStr">
        <is>
          <t>Máy bơm chữa cháy động cơ điện Q: 45m3/h - H: 40m.c.n</t>
        </is>
      </c>
      <c r="C21" s="17" t="inlineStr">
        <is>
          <t>cái</t>
        </is>
      </c>
      <c r="D21" s="17">
        <f>tb!G5</f>
        <v/>
      </c>
      <c r="E21" s="18" t="n">
        <v>13000000</v>
      </c>
      <c r="F21" s="19">
        <f>D21*E21</f>
        <v/>
      </c>
      <c r="G21" s="45" t="n">
        <v>0.08</v>
      </c>
      <c r="H21" s="51">
        <f>F21*G21</f>
        <v/>
      </c>
      <c r="I21" s="40" t="inlineStr">
        <is>
          <t>VN-TQ</t>
        </is>
      </c>
      <c r="K21" s="75" t="n">
        <v>15400000</v>
      </c>
      <c r="L21" s="75" t="n">
        <v>3000000</v>
      </c>
      <c r="M21" s="68" t="n">
        <v>24234000</v>
      </c>
    </row>
    <row r="22" ht="37.5" customHeight="1">
      <c r="A22" s="17">
        <f>A21+1</f>
        <v/>
      </c>
      <c r="B22" s="11" t="inlineStr">
        <is>
          <t>Máy bơm chữa cháy động cơ nhiên liệu Q: 45m3/h - H: 40m.c.n</t>
        </is>
      </c>
      <c r="C22" s="17" t="inlineStr">
        <is>
          <t>cái</t>
        </is>
      </c>
      <c r="D22" s="17">
        <f>tb!G6</f>
        <v/>
      </c>
      <c r="E22" s="20" t="n">
        <v>20100000</v>
      </c>
      <c r="F22" s="19">
        <f>D22*E22</f>
        <v/>
      </c>
      <c r="G22" s="45" t="n">
        <v>0.08</v>
      </c>
      <c r="H22" s="51">
        <f>F22*G22</f>
        <v/>
      </c>
      <c r="I22" s="40" t="inlineStr">
        <is>
          <t>VN-TQ</t>
        </is>
      </c>
      <c r="K22" s="76" t="n">
        <v>27720000</v>
      </c>
      <c r="L22" s="76" t="n">
        <v>3000000</v>
      </c>
      <c r="M22" s="69" t="n">
        <v>43621000</v>
      </c>
    </row>
    <row r="23" ht="37.5" customHeight="1">
      <c r="A23" s="17">
        <f>A22+1</f>
        <v/>
      </c>
      <c r="B23" s="11" t="inlineStr">
        <is>
          <t>Tủ chữa cháy KT: 400x600x200mm, tole dày 0,8mm, sơn tĩnh điện màu đỏ</t>
        </is>
      </c>
      <c r="C23" s="17" t="inlineStr">
        <is>
          <t>cái</t>
        </is>
      </c>
      <c r="D23" s="17" t="n">
        <v>17</v>
      </c>
      <c r="E23" s="18" t="n">
        <v>320000</v>
      </c>
      <c r="F23" s="19">
        <f>D23*E23</f>
        <v/>
      </c>
      <c r="G23" s="45" t="n">
        <v>0.1</v>
      </c>
      <c r="H23" s="51">
        <f>F23*G23</f>
        <v/>
      </c>
      <c r="I23" s="40" t="inlineStr">
        <is>
          <t>VN-TQ</t>
        </is>
      </c>
      <c r="K23" s="75" t="n">
        <v>368000</v>
      </c>
      <c r="L23" s="75" t="n">
        <v>400000</v>
      </c>
      <c r="M23" s="68" t="n">
        <v>580000</v>
      </c>
    </row>
    <row r="24" ht="37.5" customHeight="1">
      <c r="A24" s="17">
        <f>A23+1</f>
        <v/>
      </c>
      <c r="B24" s="11" t="inlineStr">
        <is>
          <t>Cuộn vòi chữa cháy Ø50 - L = 20m + lăng phun</t>
        </is>
      </c>
      <c r="C24" s="17" t="inlineStr">
        <is>
          <t>cái</t>
        </is>
      </c>
      <c r="D24" s="17" t="n">
        <v>17</v>
      </c>
      <c r="E24" s="18" t="n">
        <v>480000</v>
      </c>
      <c r="F24" s="19">
        <f>D24*E24</f>
        <v/>
      </c>
      <c r="G24" s="45" t="n">
        <v>0.08</v>
      </c>
      <c r="H24" s="51">
        <f>F24*G24</f>
        <v/>
      </c>
      <c r="I24" s="40" t="inlineStr">
        <is>
          <t>VN-TQ</t>
        </is>
      </c>
      <c r="K24" s="75" t="n">
        <v>514286</v>
      </c>
      <c r="L24" s="77" t="n">
        <v>58022</v>
      </c>
      <c r="M24" s="68" t="n">
        <v>810000</v>
      </c>
    </row>
    <row r="25">
      <c r="A25" s="17">
        <f>A24+1</f>
        <v/>
      </c>
      <c r="B25" s="11" t="inlineStr">
        <is>
          <t>Lăng phun DN50</t>
        </is>
      </c>
      <c r="C25" s="17" t="inlineStr">
        <is>
          <t>cái</t>
        </is>
      </c>
      <c r="D25" s="17" t="n">
        <v>17</v>
      </c>
      <c r="E25" s="18" t="n">
        <v>80000</v>
      </c>
      <c r="F25" s="19">
        <f>D25*E25</f>
        <v/>
      </c>
      <c r="G25" s="45" t="n">
        <v>0.1</v>
      </c>
      <c r="H25" s="51">
        <f>F25*G25</f>
        <v/>
      </c>
      <c r="I25" s="40" t="inlineStr">
        <is>
          <t>VN-TQ</t>
        </is>
      </c>
      <c r="K25" s="75" t="n">
        <v>85714</v>
      </c>
      <c r="L25" s="77" t="n">
        <v>9670</v>
      </c>
      <c r="M25" s="68" t="n">
        <v>135000</v>
      </c>
    </row>
    <row r="26">
      <c r="A26" s="17">
        <f>A25+1</f>
        <v/>
      </c>
      <c r="B26" s="11" t="inlineStr">
        <is>
          <t>Van góc FUJI DN50</t>
        </is>
      </c>
      <c r="C26" s="17" t="inlineStr">
        <is>
          <t>cái</t>
        </is>
      </c>
      <c r="D26" s="17" t="n">
        <v>17</v>
      </c>
      <c r="E26" s="18" t="n">
        <v>250000</v>
      </c>
      <c r="F26" s="19">
        <f>D26*E26</f>
        <v/>
      </c>
      <c r="G26" s="45" t="n">
        <v>0.1</v>
      </c>
      <c r="H26" s="51">
        <f>F26*G26</f>
        <v/>
      </c>
      <c r="I26" s="40" t="inlineStr">
        <is>
          <t>VN-TQ</t>
        </is>
      </c>
      <c r="K26" s="75" t="n">
        <v>166000</v>
      </c>
      <c r="L26" s="75" t="n">
        <v>100000</v>
      </c>
      <c r="M26" s="68" t="n">
        <v>262000</v>
      </c>
    </row>
    <row r="27" ht="37.5" customHeight="1">
      <c r="A27" s="17">
        <f>A26+1</f>
        <v/>
      </c>
      <c r="B27" s="11" t="inlineStr">
        <is>
          <t>Bộ nội quy tiêu lệnh chữa cháy - Chất liệu bằng tôn</t>
        </is>
      </c>
      <c r="C27" s="17" t="inlineStr">
        <is>
          <t>cái</t>
        </is>
      </c>
      <c r="D27" s="17">
        <f>tb!G7</f>
        <v/>
      </c>
      <c r="E27" s="18" t="n">
        <v>40000</v>
      </c>
      <c r="F27" s="19">
        <f>D27*E27</f>
        <v/>
      </c>
      <c r="G27" s="45" t="n">
        <v>0.08</v>
      </c>
      <c r="H27" s="51">
        <f>F27*G27</f>
        <v/>
      </c>
      <c r="I27" s="40" t="inlineStr">
        <is>
          <t>VN</t>
        </is>
      </c>
      <c r="K27" s="75" t="n">
        <v>53000</v>
      </c>
      <c r="L27" s="75" t="n">
        <v>50000</v>
      </c>
      <c r="M27" s="68" t="n">
        <v>163000</v>
      </c>
    </row>
    <row r="28">
      <c r="A28" s="17">
        <f>A27+1</f>
        <v/>
      </c>
      <c r="B28" s="11" t="inlineStr">
        <is>
          <t>Kệ đỡ bình chữa cháy</t>
        </is>
      </c>
      <c r="C28" s="17" t="inlineStr">
        <is>
          <t>cái</t>
        </is>
      </c>
      <c r="D28" s="17">
        <f>tb!G8</f>
        <v/>
      </c>
      <c r="E28" s="18" t="n">
        <v>110000</v>
      </c>
      <c r="F28" s="19">
        <f>D28*E28</f>
        <v/>
      </c>
      <c r="G28" s="45" t="n">
        <v>0.1</v>
      </c>
      <c r="H28" s="51">
        <f>F28*G28</f>
        <v/>
      </c>
      <c r="I28" s="40" t="inlineStr">
        <is>
          <t>VN</t>
        </is>
      </c>
      <c r="K28" s="75" t="n">
        <v>137000</v>
      </c>
      <c r="L28" s="77" t="n">
        <v>31538</v>
      </c>
      <c r="M28" s="68" t="n">
        <v>216000</v>
      </c>
    </row>
    <row r="29">
      <c r="A29" s="17">
        <f>A28+1</f>
        <v/>
      </c>
      <c r="B29" s="11" t="inlineStr">
        <is>
          <t>BÌNH BỘT ABC 8KG</t>
        </is>
      </c>
      <c r="C29" s="17" t="inlineStr">
        <is>
          <t>cái</t>
        </is>
      </c>
      <c r="D29" s="17">
        <f>tb!G9</f>
        <v/>
      </c>
      <c r="E29" s="18" t="n">
        <v>550000</v>
      </c>
      <c r="F29" s="19">
        <f>D29*E29</f>
        <v/>
      </c>
      <c r="G29" s="45" t="n">
        <v>0.08</v>
      </c>
      <c r="H29" s="51">
        <f>F29*G29</f>
        <v/>
      </c>
      <c r="I29" s="40" t="inlineStr">
        <is>
          <t>VN</t>
        </is>
      </c>
      <c r="K29" s="75" t="n">
        <v>652000</v>
      </c>
      <c r="L29" s="77" t="n">
        <v>10769</v>
      </c>
      <c r="M29" s="68" t="n">
        <v>1027000</v>
      </c>
    </row>
    <row r="30">
      <c r="A30" s="17">
        <f>A29+1</f>
        <v/>
      </c>
      <c r="B30" s="11" t="inlineStr">
        <is>
          <t>Đèn chiếu sáng sự cố</t>
        </is>
      </c>
      <c r="C30" s="17" t="inlineStr">
        <is>
          <t>cái</t>
        </is>
      </c>
      <c r="D30" s="17" t="n">
        <v>1</v>
      </c>
      <c r="E30" s="18" t="n">
        <v>200000</v>
      </c>
      <c r="F30" s="19">
        <f>D30*E30</f>
        <v/>
      </c>
      <c r="G30" s="45" t="n">
        <v>0.08</v>
      </c>
      <c r="H30" s="51">
        <f>F30*G30</f>
        <v/>
      </c>
      <c r="I30" s="40" t="inlineStr">
        <is>
          <t>TQ</t>
        </is>
      </c>
      <c r="K30" s="75" t="n">
        <v>190000</v>
      </c>
      <c r="L30" s="75" t="n">
        <v>100000</v>
      </c>
      <c r="M30" s="68" t="n">
        <v>299000</v>
      </c>
    </row>
    <row r="31">
      <c r="A31" s="17">
        <f>A30+1</f>
        <v/>
      </c>
      <c r="B31" s="11" t="inlineStr">
        <is>
          <t>Đèn báo trạm bơm</t>
        </is>
      </c>
      <c r="C31" s="17" t="inlineStr">
        <is>
          <t>cái</t>
        </is>
      </c>
      <c r="D31" s="17" t="n">
        <v>3</v>
      </c>
      <c r="E31" s="18" t="n">
        <v>350000</v>
      </c>
      <c r="F31" s="19">
        <f>D31*E31</f>
        <v/>
      </c>
      <c r="G31" s="45" t="n">
        <v>0.08</v>
      </c>
      <c r="H31" s="51">
        <f>F31*G31</f>
        <v/>
      </c>
      <c r="I31" s="40" t="inlineStr">
        <is>
          <t>VN</t>
        </is>
      </c>
      <c r="K31" s="75" t="n">
        <v>285000</v>
      </c>
      <c r="L31" s="75" t="n">
        <v>100000</v>
      </c>
      <c r="M31" s="68" t="n">
        <v>449000</v>
      </c>
    </row>
    <row r="32">
      <c r="A32" s="17">
        <f>A31+1</f>
        <v/>
      </c>
      <c r="B32" s="11" t="inlineStr">
        <is>
          <t>Sơ đồ chỉ dẫn thoát hiểm 400x600</t>
        </is>
      </c>
      <c r="C32" s="17" t="inlineStr">
        <is>
          <t>cái</t>
        </is>
      </c>
      <c r="D32" s="17">
        <f>tb!G10</f>
        <v/>
      </c>
      <c r="E32" s="18" t="n">
        <v>150000</v>
      </c>
      <c r="F32" s="19">
        <f>D32*E32</f>
        <v/>
      </c>
      <c r="G32" s="45" t="n">
        <v>0.08</v>
      </c>
      <c r="H32" s="51">
        <f>F32*G32</f>
        <v/>
      </c>
      <c r="I32" s="40" t="inlineStr">
        <is>
          <t>VN</t>
        </is>
      </c>
      <c r="K32" s="75" t="n">
        <v>442000</v>
      </c>
      <c r="L32" s="75" t="n">
        <v>50000</v>
      </c>
      <c r="M32" s="68" t="n">
        <v>775000</v>
      </c>
    </row>
    <row r="33">
      <c r="A33" s="17">
        <f>A32+1</f>
        <v/>
      </c>
      <c r="B33" s="11" t="inlineStr">
        <is>
          <t>Họng tiếp nước ngoài nhà 2 cửa- ngàm nhôm</t>
        </is>
      </c>
      <c r="C33" s="17" t="inlineStr">
        <is>
          <t>cái</t>
        </is>
      </c>
      <c r="D33" s="17" t="n">
        <v>3</v>
      </c>
      <c r="E33" s="18" t="n">
        <v>950000</v>
      </c>
      <c r="F33" s="19">
        <f>D33*E33</f>
        <v/>
      </c>
      <c r="G33" s="45" t="n">
        <v>0.1</v>
      </c>
      <c r="H33" s="51">
        <f>F33*G33</f>
        <v/>
      </c>
      <c r="I33" s="40" t="inlineStr">
        <is>
          <t>VN</t>
        </is>
      </c>
      <c r="K33" s="75" t="n">
        <v>1260000</v>
      </c>
      <c r="L33" s="75" t="n">
        <v>500000</v>
      </c>
      <c r="M33" s="68" t="n">
        <v>1983000</v>
      </c>
    </row>
    <row r="34">
      <c r="A34" s="43" t="n"/>
      <c r="B34" s="33" t="inlineStr">
        <is>
          <t>TỔNG TRƯỚC THUẾ</t>
        </is>
      </c>
      <c r="C34" s="41" t="n"/>
      <c r="D34" s="41" t="n"/>
      <c r="E34" s="42" t="n"/>
      <c r="F34" s="44">
        <f>SUM(F4:F33)</f>
        <v/>
      </c>
      <c r="G34" s="44" t="n"/>
      <c r="H34" s="52">
        <f>SUM(H4:H33)</f>
        <v/>
      </c>
      <c r="I34" s="40" t="n"/>
      <c r="K34" s="78">
        <f>SUMPRODUCT(D4:D33,K4:K33)</f>
        <v/>
      </c>
      <c r="L34" s="78">
        <f>SUMPRODUCT(D4:D33,L4:L33)</f>
        <v/>
      </c>
      <c r="M34" s="70">
        <f>SUMPRODUCT(D4:D33,M4:M33)</f>
        <v/>
      </c>
    </row>
    <row r="35">
      <c r="A35" s="43" t="n"/>
      <c r="B35" s="33" t="inlineStr">
        <is>
          <t>TỔNG SAU THUẾ</t>
        </is>
      </c>
      <c r="C35" s="41" t="n"/>
      <c r="D35" s="41" t="n"/>
      <c r="E35" s="42" t="n"/>
      <c r="F35" s="53">
        <f>F34+H34</f>
        <v/>
      </c>
      <c r="G35" s="47" t="n"/>
      <c r="H35" s="50" t="n"/>
      <c r="I35" s="40" t="n"/>
      <c r="K35" s="78" t="n"/>
      <c r="L35" s="78" t="n"/>
      <c r="M35" s="70">
        <f>M34+SUMPRODUCT(D4:D33,M4:M33,G4:G33)</f>
        <v/>
      </c>
    </row>
  </sheetData>
  <mergeCells count="2">
    <mergeCell ref="A2:F2"/>
    <mergeCell ref="A1:F1"/>
  </mergeCells>
  <pageMargins left="0.7" right="0.7" top="0.75" bottom="0.75" header="0.3" footer="0.3"/>
  <pageSetup orientation="landscape" paperSize="9" scale="82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2026-10-30T01:56:12Z</dcterms:modified>
  <cp:lastModifiedBy>LINH</cp:lastModifiedBy>
  <cp:lastPrinted>2026-10-13T04:31:09Z</cp:lastPrinted>
</cp:coreProperties>
</file>