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definedNames>
    <definedName name="_xlnm.Print_Area" localSheetId="1">'Bao gia'!$A$1:$K$35</definedName>
  </definedNames>
  <calcPr calcId="152511" fullCalcOnLoad="1" iterateCount="1"/>
</workbook>
</file>

<file path=xl/styles.xml><?xml version="1.0" encoding="utf-8"?>
<styleSheet xmlns="http://schemas.openxmlformats.org/spreadsheetml/2006/main">
  <numFmts count="4">
    <numFmt numFmtId="164" formatCode="_(* #,##0_);_(* \(#,##0\);_(* &quot;-&quot;??_);_(@_)"/>
    <numFmt numFmtId="165" formatCode="_(* #,##0_);_(* \(#,##0\);_(* &quot;-&quot;?_);_(@_)"/>
    <numFmt numFmtId="166" formatCode="#,##0.##"/>
    <numFmt numFmtId="167" formatCode="0.0%"/>
  </numFmts>
  <fonts count="22">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Calibri"/>
      <family val="2"/>
      <b val="1"/>
      <color theme="1"/>
      <sz val="11"/>
      <scheme val="minor"/>
    </font>
    <font>
      <name val="Times New Roman"/>
      <family val="1"/>
      <b val="1"/>
      <color theme="1"/>
      <sz val="11"/>
    </font>
    <font>
      <name val="Calibri"/>
      <family val="2"/>
      <color theme="1"/>
      <sz val="12"/>
      <scheme val="minor"/>
    </font>
    <font>
      <name val="Times New Roman"/>
      <family val="1"/>
      <b val="1"/>
      <color theme="1"/>
      <sz val="12"/>
    </font>
    <font>
      <name val="Times New Roman"/>
      <b val="1"/>
      <sz val="15"/>
    </font>
    <font>
      <name val="Times New Roman"/>
      <i val="1"/>
      <sz val="11"/>
    </font>
    <font>
      <name val="Times New Roman"/>
      <b val="1"/>
      <sz val="12"/>
    </font>
    <font>
      <name val="Times New Roman"/>
      <sz val="14"/>
    </font>
    <font>
      <name val="Times New Roman"/>
      <sz val="12"/>
    </font>
    <font>
      <name val="Times New Roman"/>
      <b val="1"/>
      <sz val="14"/>
    </font>
    <font>
      <name val="Times New Roman"/>
      <b val="1"/>
      <sz val="13"/>
    </font>
    <font>
      <name val="Times New Roman"/>
      <i val="1"/>
      <sz val="10"/>
    </font>
    <font>
      <name val="Times New Roman"/>
      <b val="1"/>
      <sz val="11"/>
    </font>
    <font>
      <name val="Times New Roman"/>
      <sz val="11"/>
    </font>
  </fonts>
  <fills count="9">
    <fill>
      <patternFill/>
    </fill>
    <fill>
      <patternFill patternType="gray125"/>
    </fill>
    <fill>
      <patternFill patternType="solid">
        <fgColor theme="0"/>
        <bgColor indexed="64"/>
      </patternFill>
    </fill>
    <fill>
      <patternFill patternType="solid">
        <fgColor theme="5" tint="0.7999816888943144"/>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4">
    <xf numFmtId="0" fontId="3" fillId="0" borderId="0"/>
    <xf numFmtId="43" fontId="3" fillId="0" borderId="0"/>
    <xf numFmtId="43" fontId="4" fillId="0" borderId="0"/>
    <xf numFmtId="9" fontId="3" fillId="0" borderId="0"/>
  </cellStyleXfs>
  <cellXfs count="107">
    <xf numFmtId="0" fontId="0" fillId="0"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165" fontId="1" fillId="0" borderId="1" pivotButton="0" quotePrefix="0" xfId="0"/>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165" fontId="2" fillId="0" borderId="1" applyAlignment="1" pivotButton="0" quotePrefix="0" xfId="0">
      <alignment horizontal="center"/>
    </xf>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7" fillId="0" borderId="1" applyAlignment="1" pivotButton="0" quotePrefix="0" xfId="0">
      <alignment vertical="center"/>
    </xf>
    <xf numFmtId="0" fontId="2" fillId="2" borderId="1" applyAlignment="1" pivotButton="0" quotePrefix="0" xfId="0">
      <alignment horizontal="center" vertical="center" wrapText="1"/>
    </xf>
    <xf numFmtId="0" fontId="6" fillId="2" borderId="1" applyAlignment="1" pivotButton="0" quotePrefix="0" xfId="0">
      <alignment horizontal="center" vertical="center" wrapText="1"/>
    </xf>
    <xf numFmtId="164" fontId="6" fillId="2" borderId="1" applyAlignment="1" pivotButton="0" quotePrefix="0" xfId="1">
      <alignment vertical="center" wrapText="1"/>
    </xf>
    <xf numFmtId="164" fontId="6" fillId="2" borderId="1" applyAlignment="1" pivotButton="0" quotePrefix="0" xfId="0">
      <alignment vertical="center" wrapText="1"/>
    </xf>
    <xf numFmtId="164" fontId="1" fillId="0" borderId="1" applyAlignment="1" pivotButton="0" quotePrefix="0" xfId="1">
      <alignment vertical="center"/>
    </xf>
    <xf numFmtId="0" fontId="7" fillId="2" borderId="0" applyAlignment="1" pivotButton="0" quotePrefix="0" xfId="0">
      <alignment horizontal="center" vertical="center"/>
    </xf>
    <xf numFmtId="0" fontId="7" fillId="2" borderId="0" applyAlignment="1" pivotButton="0" quotePrefix="0" xfId="0">
      <alignment horizontal="center"/>
    </xf>
    <xf numFmtId="164" fontId="7" fillId="2" borderId="0" pivotButton="0" quotePrefix="0" xfId="1"/>
    <xf numFmtId="0" fontId="7" fillId="2" borderId="0" pivotButton="0" quotePrefix="0" xfId="0"/>
    <xf numFmtId="0" fontId="7" fillId="2" borderId="0" applyAlignment="1" pivotButton="0" quotePrefix="0" xfId="0">
      <alignment wrapText="1"/>
    </xf>
    <xf numFmtId="0" fontId="2" fillId="0" borderId="0" applyAlignment="1" pivotButton="0" quotePrefix="0" xfId="0">
      <alignment horizontal="center" vertical="center"/>
    </xf>
    <xf numFmtId="0" fontId="5" fillId="0" borderId="1" applyAlignment="1" pivotButton="0" quotePrefix="0" xfId="0">
      <alignment horizontal="center"/>
    </xf>
    <xf numFmtId="0" fontId="0" fillId="0" borderId="0" applyAlignment="1" pivotButton="0" quotePrefix="0" xfId="0">
      <alignment horizontal="center"/>
    </xf>
    <xf numFmtId="9" fontId="2" fillId="0" borderId="1" applyAlignment="1" pivotButton="0" quotePrefix="0" xfId="3">
      <alignment horizontal="center" vertical="center" wrapText="1"/>
    </xf>
    <xf numFmtId="9" fontId="2" fillId="0" borderId="1" applyAlignment="1" pivotButton="0" quotePrefix="0" xfId="3">
      <alignment horizontal="center"/>
    </xf>
    <xf numFmtId="9" fontId="1" fillId="0" borderId="1" applyAlignment="1" pivotButton="0" quotePrefix="0" xfId="3">
      <alignment horizontal="center"/>
    </xf>
    <xf numFmtId="9" fontId="7" fillId="0" borderId="0" applyAlignment="1" pivotButton="0" quotePrefix="0" xfId="3">
      <alignment horizontal="center"/>
    </xf>
    <xf numFmtId="0" fontId="9" fillId="0" borderId="1" applyAlignment="1" pivotButton="0" quotePrefix="0" xfId="0">
      <alignment wrapText="1"/>
    </xf>
    <xf numFmtId="0" fontId="9" fillId="0" borderId="1" pivotButton="0" quotePrefix="0" xfId="0"/>
    <xf numFmtId="0" fontId="9" fillId="0" borderId="1" applyAlignment="1" pivotButton="0" quotePrefix="0" xfId="0">
      <alignment horizontal="center" vertical="center"/>
    </xf>
    <xf numFmtId="0" fontId="8" fillId="0" borderId="1" applyAlignment="1" pivotButton="0" quotePrefix="0" xfId="0">
      <alignment horizontal="center"/>
    </xf>
    <xf numFmtId="9" fontId="9" fillId="0" borderId="1" applyAlignment="1" pivotButton="0" quotePrefix="0" xfId="3">
      <alignment horizontal="center"/>
    </xf>
    <xf numFmtId="164" fontId="9" fillId="0" borderId="1" pivotButton="0" quotePrefix="0" xfId="0"/>
    <xf numFmtId="0" fontId="5" fillId="0" borderId="0" applyAlignment="1" pivotButton="0" quotePrefix="0" xfId="0">
      <alignment horizontal="center" vertical="center"/>
    </xf>
    <xf numFmtId="0" fontId="5" fillId="0" borderId="1" applyAlignment="1" pivotButton="0" quotePrefix="0" xfId="0">
      <alignment horizontal="center" vertical="center"/>
    </xf>
    <xf numFmtId="0" fontId="7" fillId="2" borderId="1" applyAlignment="1" pivotButton="0" quotePrefix="0" xfId="0">
      <alignment horizontal="center"/>
    </xf>
    <xf numFmtId="164" fontId="7" fillId="2" borderId="1" pivotButton="0" quotePrefix="0" xfId="1"/>
    <xf numFmtId="0" fontId="7" fillId="2" borderId="1" applyAlignment="1" pivotButton="0" quotePrefix="0" xfId="0">
      <alignment horizontal="center" vertical="center"/>
    </xf>
    <xf numFmtId="164" fontId="2" fillId="2" borderId="1" pivotButton="0" quotePrefix="0" xfId="0"/>
    <xf numFmtId="9" fontId="6" fillId="2" borderId="1" applyAlignment="1" pivotButton="0" quotePrefix="0" xfId="3">
      <alignment horizontal="center" vertical="center" wrapText="1"/>
    </xf>
    <xf numFmtId="9" fontId="0" fillId="0" borderId="0" applyAlignment="1" pivotButton="0" quotePrefix="0" xfId="3">
      <alignment horizontal="center" vertical="center"/>
    </xf>
    <xf numFmtId="9" fontId="0" fillId="0" borderId="1" applyAlignment="1" pivotButton="0" quotePrefix="0" xfId="3">
      <alignment horizontal="center" vertical="center"/>
    </xf>
    <xf numFmtId="0" fontId="10" fillId="0" borderId="0" pivotButton="0" quotePrefix="0" xfId="0"/>
    <xf numFmtId="0" fontId="11" fillId="0" borderId="1" applyAlignment="1" pivotButton="0" quotePrefix="0" xfId="0">
      <alignment horizontal="center" vertical="center" wrapText="1"/>
    </xf>
    <xf numFmtId="0" fontId="10" fillId="0" borderId="1" pivotButton="0" quotePrefix="0" xfId="0"/>
    <xf numFmtId="164" fontId="10" fillId="0" borderId="1" pivotButton="0" quotePrefix="0" xfId="0"/>
    <xf numFmtId="164" fontId="11" fillId="2" borderId="1" pivotButton="0" quotePrefix="0" xfId="0"/>
    <xf numFmtId="164" fontId="2" fillId="3"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vertical="center" wrapText="1"/>
    </xf>
    <xf numFmtId="164" fontId="6" fillId="4" borderId="1" applyAlignment="1" pivotButton="0" quotePrefix="0" xfId="1">
      <alignment vertical="center" wrapText="1"/>
    </xf>
    <xf numFmtId="164" fontId="6" fillId="4" borderId="1" applyAlignment="1" pivotButton="0" quotePrefix="0" xfId="0">
      <alignment vertical="center" wrapText="1"/>
    </xf>
    <xf numFmtId="9" fontId="6" fillId="4" borderId="1" applyAlignment="1" pivotButton="0" quotePrefix="0" xfId="3">
      <alignment horizontal="center" vertical="center" wrapText="1"/>
    </xf>
    <xf numFmtId="164" fontId="10" fillId="4" borderId="1" pivotButton="0" quotePrefix="0" xfId="0"/>
    <xf numFmtId="0" fontId="5" fillId="4" borderId="1" applyAlignment="1" pivotButton="0" quotePrefix="0" xfId="0">
      <alignment horizontal="center" vertical="center"/>
    </xf>
    <xf numFmtId="0" fontId="0" fillId="4" borderId="0" pivotButton="0" quotePrefix="0" xfId="0"/>
    <xf numFmtId="0" fontId="2" fillId="5" borderId="1" applyAlignment="1" pivotButton="0" quotePrefix="0" xfId="0">
      <alignment horizontal="center" vertical="center" wrapText="1"/>
    </xf>
    <xf numFmtId="164" fontId="1" fillId="5" borderId="1" pivotButton="0" quotePrefix="0" xfId="1"/>
    <xf numFmtId="164" fontId="9" fillId="5" borderId="1" pivotButton="0" quotePrefix="0" xfId="0"/>
    <xf numFmtId="164" fontId="6" fillId="5" borderId="1" applyAlignment="1" pivotButton="0" quotePrefix="0" xfId="1">
      <alignment vertical="center" wrapText="1"/>
    </xf>
    <xf numFmtId="164" fontId="1" fillId="5" borderId="1" applyAlignment="1" pivotButton="0" quotePrefix="0" xfId="1">
      <alignment vertical="center"/>
    </xf>
    <xf numFmtId="164" fontId="2" fillId="5" borderId="1" pivotButton="0" quotePrefix="0" xfId="0"/>
    <xf numFmtId="0" fontId="2" fillId="6" borderId="1" applyAlignment="1" pivotButton="0" quotePrefix="0" xfId="0">
      <alignment horizontal="center" vertical="center" wrapText="1"/>
    </xf>
    <xf numFmtId="164" fontId="1" fillId="7" borderId="1" pivotButton="0" quotePrefix="0" xfId="1"/>
    <xf numFmtId="164" fontId="1" fillId="8" borderId="1" pivotButton="0" quotePrefix="0" xfId="1"/>
    <xf numFmtId="164" fontId="9" fillId="7" borderId="1" pivotButton="0" quotePrefix="0" xfId="0"/>
    <xf numFmtId="164" fontId="6" fillId="7" borderId="1" applyAlignment="1" pivotButton="0" quotePrefix="0" xfId="1">
      <alignment vertical="center" wrapText="1"/>
    </xf>
    <xf numFmtId="164" fontId="1" fillId="7" borderId="1" applyAlignment="1" pivotButton="0" quotePrefix="0" xfId="1">
      <alignment vertical="center"/>
    </xf>
    <xf numFmtId="164" fontId="6" fillId="8" borderId="1" applyAlignment="1" pivotButton="0" quotePrefix="0" xfId="1">
      <alignment vertical="center" wrapText="1"/>
    </xf>
    <xf numFmtId="164" fontId="2" fillId="7" borderId="1" pivotButton="0" quotePrefix="0" xfId="0"/>
    <xf numFmtId="0" fontId="3" fillId="0" borderId="0" pivotButton="0" quotePrefix="0" xfId="0"/>
    <xf numFmtId="0" fontId="17" fillId="5" borderId="2" applyAlignment="1" pivotButton="0" quotePrefix="0" xfId="0">
      <alignment horizontal="center" vertical="center" wrapText="1"/>
    </xf>
    <xf numFmtId="0" fontId="15" fillId="0" borderId="2" applyAlignment="1" pivotButton="0" quotePrefix="0" xfId="0">
      <alignment vertical="center"/>
    </xf>
    <xf numFmtId="3" fontId="15" fillId="0" borderId="2" applyAlignment="1" pivotButton="0" quotePrefix="0" xfId="0">
      <alignment horizontal="center" vertical="center"/>
    </xf>
    <xf numFmtId="164" fontId="15" fillId="5" borderId="2" applyAlignment="1" pivotButton="0" quotePrefix="0" xfId="0">
      <alignment vertical="center"/>
    </xf>
    <xf numFmtId="0" fontId="12" fillId="0" borderId="0" pivotButton="0" quotePrefix="0" xfId="0"/>
    <xf numFmtId="0" fontId="13" fillId="0" borderId="0" pivotButton="0" quotePrefix="0" xfId="0"/>
    <xf numFmtId="0" fontId="14" fillId="0" borderId="2" applyAlignment="1" pivotButton="0" quotePrefix="0" xfId="0">
      <alignment vertical="center"/>
    </xf>
    <xf numFmtId="0" fontId="0" fillId="0" borderId="5" pivotButton="0" quotePrefix="0" xfId="0"/>
    <xf numFmtId="9" fontId="14" fillId="8" borderId="2" applyAlignment="1" pivotButton="0" quotePrefix="0" xfId="0">
      <alignment horizontal="center" vertical="center"/>
    </xf>
    <xf numFmtId="0" fontId="18" fillId="0" borderId="0" pivotButton="0" quotePrefix="0" xfId="0"/>
    <xf numFmtId="0" fontId="14" fillId="5" borderId="2" applyAlignment="1" pivotButton="0" quotePrefix="0" xfId="0">
      <alignment horizontal="center" vertical="center" wrapText="1"/>
    </xf>
    <xf numFmtId="0" fontId="0" fillId="0" borderId="6" pivotButton="0" quotePrefix="0" xfId="0"/>
    <xf numFmtId="164" fontId="16" fillId="0" borderId="2" applyAlignment="1" pivotButton="0" quotePrefix="0" xfId="0">
      <alignment vertical="center" wrapText="1"/>
    </xf>
    <xf numFmtId="164" fontId="16" fillId="0" borderId="2" applyAlignment="1" pivotButton="0" quotePrefix="0" xfId="0">
      <alignment vertical="center"/>
    </xf>
    <xf numFmtId="167" fontId="16" fillId="0" borderId="2" applyAlignment="1" pivotButton="0" quotePrefix="0" xfId="0">
      <alignment vertical="center"/>
    </xf>
    <xf numFmtId="164" fontId="14" fillId="7" borderId="2" applyAlignment="1" pivotButton="0" quotePrefix="0" xfId="0">
      <alignment vertical="center" wrapText="1"/>
    </xf>
    <xf numFmtId="164" fontId="14" fillId="7" borderId="2" applyAlignment="1" pivotButton="0" quotePrefix="0" xfId="0">
      <alignment vertical="center"/>
    </xf>
    <xf numFmtId="167" fontId="14" fillId="7" borderId="2" applyAlignment="1" pivotButton="0" quotePrefix="0" xfId="0">
      <alignment vertical="center"/>
    </xf>
    <xf numFmtId="0" fontId="19" fillId="0" borderId="0" pivotButton="0" quotePrefix="0" xfId="0"/>
    <xf numFmtId="0" fontId="16" fillId="0" borderId="2" applyAlignment="1" pivotButton="0" quotePrefix="0" xfId="0">
      <alignment horizontal="center" vertical="center"/>
    </xf>
    <xf numFmtId="0" fontId="16" fillId="0" borderId="2" applyAlignment="1" pivotButton="0" quotePrefix="0" xfId="0">
      <alignment vertical="center" wrapText="1"/>
    </xf>
    <xf numFmtId="166" fontId="16" fillId="0" borderId="2" applyAlignment="1" pivotButton="0" quotePrefix="0" xfId="0">
      <alignment vertical="center"/>
    </xf>
    <xf numFmtId="164" fontId="16" fillId="5" borderId="2" applyAlignment="1" pivotButton="0" quotePrefix="0" xfId="0">
      <alignment vertical="center"/>
    </xf>
    <xf numFmtId="9" fontId="16" fillId="0" borderId="2" applyAlignment="1" pivotButton="0" quotePrefix="0" xfId="0">
      <alignment horizontal="center" vertical="center"/>
    </xf>
    <xf numFmtId="0" fontId="14" fillId="7" borderId="2" applyAlignment="1" pivotButton="0" quotePrefix="0" xfId="0">
      <alignment vertical="center"/>
    </xf>
    <xf numFmtId="0" fontId="20" fillId="0" borderId="0" applyAlignment="1" pivotButton="0" quotePrefix="0" xfId="0">
      <alignment vertical="top" wrapText="1"/>
    </xf>
    <xf numFmtId="0" fontId="21" fillId="0" borderId="0" applyAlignment="1" pivotButton="0" quotePrefix="0" xfId="0">
      <alignment vertical="top" wrapText="1"/>
    </xf>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O12"/>
  <sheetViews>
    <sheetView workbookViewId="0">
      <selection activeCell="H3" sqref="H3:L3"/>
    </sheetView>
  </sheetViews>
  <sheetFormatPr baseColWidth="8" defaultRowHeight="1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 customWidth="1" style="12" min="7" max="7"/>
    <col width="17" customWidth="1" style="14" min="8" max="9"/>
    <col width="15.85546875" customWidth="1" style="32" min="10" max="10"/>
    <col width="17.28515625" customWidth="1" style="14" min="11" max="11"/>
    <col width="13.28515625" customWidth="1" style="28" min="12" max="12"/>
    <col width="20" customWidth="1" min="13" max="13"/>
    <col width="20" customWidth="1" min="14" max="14"/>
    <col width="13" customWidth="1" min="15" max="15"/>
    <col width="13" customWidth="1" min="16" max="16"/>
    <col width="13" customWidth="1" min="17" max="17"/>
    <col width="13" customWidth="1" min="18" max="18"/>
    <col width="13" customWidth="1" min="19" max="19"/>
    <col width="13" customWidth="1" min="20" max="20"/>
  </cols>
  <sheetData>
    <row r="1" ht="18.75" customHeight="1">
      <c r="A1" s="54" t="n"/>
      <c r="L1" s="54" t="n"/>
      <c r="M1" s="79" t="n"/>
      <c r="N1" s="79" t="n"/>
      <c r="O1" s="79" t="n"/>
    </row>
    <row r="2" ht="18.75" customHeight="1">
      <c r="A2" s="54" t="n"/>
      <c r="L2" s="54" t="n"/>
      <c r="M2" s="79" t="n"/>
      <c r="N2" s="79" t="n"/>
      <c r="O2" s="79" t="n"/>
    </row>
    <row r="3" ht="37.5" customFormat="1" customHeight="1" s="1">
      <c r="A3" s="3" t="inlineStr">
        <is>
          <t>STT</t>
        </is>
      </c>
      <c r="B3" s="3" t="inlineStr">
        <is>
          <t>Tên thiết bị</t>
        </is>
      </c>
      <c r="C3" s="3" t="inlineStr">
        <is>
          <t>Đơn vị</t>
        </is>
      </c>
      <c r="D3" s="3" t="n"/>
      <c r="E3" s="3" t="n"/>
      <c r="F3" s="3" t="n"/>
      <c r="G3" s="3" t="inlineStr">
        <is>
          <t>Tổng số lượng</t>
        </is>
      </c>
      <c r="H3" s="3" t="inlineStr">
        <is>
          <t>Đơn giá trước thuế</t>
        </is>
      </c>
      <c r="I3" s="3" t="inlineStr">
        <is>
          <t>Thành tiền trước thuế</t>
        </is>
      </c>
      <c r="J3" s="29" t="inlineStr">
        <is>
          <t>Thuế suất</t>
        </is>
      </c>
      <c r="K3" s="3" t="inlineStr">
        <is>
          <t xml:space="preserve">Tiền thuế </t>
        </is>
      </c>
      <c r="L3" s="3" t="inlineStr">
        <is>
          <t>NSX</t>
        </is>
      </c>
      <c r="M3" s="80" t="inlineStr">
        <is>
          <t>Giá vật tư đề xuất (trước thuế)</t>
        </is>
      </c>
      <c r="N3" s="80" t="inlineStr">
        <is>
          <t>Giá nhân công đề xuất (trước thuế)</t>
        </is>
      </c>
      <c r="O3" s="79" t="n"/>
    </row>
    <row r="4" ht="18.75" customHeight="1">
      <c r="A4" s="7" t="inlineStr">
        <is>
          <t>I</t>
        </is>
      </c>
      <c r="B4" s="8" t="inlineStr">
        <is>
          <t>Thiết bị</t>
        </is>
      </c>
      <c r="C4" s="8" t="n"/>
      <c r="D4" s="8" t="n"/>
      <c r="E4" s="8" t="n"/>
      <c r="F4" s="8" t="n"/>
      <c r="G4" s="7" t="n"/>
      <c r="H4" s="9" t="n"/>
      <c r="I4" s="9" t="n"/>
      <c r="J4" s="30" t="n"/>
      <c r="K4" s="10" t="n"/>
      <c r="L4" s="27" t="n"/>
      <c r="M4" s="81" t="n"/>
      <c r="N4" s="81" t="n"/>
      <c r="O4" s="79" t="n"/>
    </row>
    <row r="5" ht="37.5" customHeight="1">
      <c r="A5" s="4" t="n">
        <v>1</v>
      </c>
      <c r="B5" s="11" t="inlineStr">
        <is>
          <t>Máy bơm chữa cháy động cơ điện Q: 45m3/h - H: 40m.c.n</t>
        </is>
      </c>
      <c r="C5" s="4" t="inlineStr">
        <is>
          <t>cái</t>
        </is>
      </c>
      <c r="D5" s="4" t="n">
        <v>1</v>
      </c>
      <c r="E5" s="4" t="n">
        <v>1</v>
      </c>
      <c r="F5" s="4" t="n">
        <v>1</v>
      </c>
      <c r="G5" s="82">
        <f>SUM(D5:F5)</f>
        <v/>
      </c>
      <c r="H5" s="5" t="n">
        <v>13000000</v>
      </c>
      <c r="I5" s="5">
        <f>H5*G5</f>
        <v/>
      </c>
      <c r="J5" s="31" t="n">
        <v>0.08</v>
      </c>
      <c r="K5" s="6">
        <f>I5*J5</f>
        <v/>
      </c>
      <c r="L5" s="27" t="inlineStr">
        <is>
          <t>VN-TQ</t>
        </is>
      </c>
      <c r="M5" s="83">
        <f>IF('Danh gia LN'!E32="","",ROUNDUP('Danh gia LN'!E32*(1+'Danh gia LN'!$D$4),-3))</f>
        <v/>
      </c>
      <c r="N5" s="83">
        <f>IF('Danh gia LN'!F32="","",ROUNDUP('Danh gia LN'!F32*(1+'Danh gia LN'!$D$4),-3))</f>
        <v/>
      </c>
      <c r="O5" s="79" t="n"/>
    </row>
    <row r="6" ht="37.5" customHeight="1">
      <c r="A6" s="4" t="n">
        <v>2</v>
      </c>
      <c r="B6" s="11" t="inlineStr">
        <is>
          <t>Máy bơm chữa cháy động cơ nhiên liệu Q: 45m3/h - H: 40m.c.n</t>
        </is>
      </c>
      <c r="C6" s="4" t="inlineStr">
        <is>
          <t>cái</t>
        </is>
      </c>
      <c r="D6" s="4" t="n">
        <v>1</v>
      </c>
      <c r="E6" s="4" t="n">
        <v>1</v>
      </c>
      <c r="F6" s="4" t="n">
        <v>1</v>
      </c>
      <c r="G6" s="82">
        <f>SUM(D6:F6)</f>
        <v/>
      </c>
      <c r="H6" s="5" t="n">
        <v>20100000</v>
      </c>
      <c r="I6" s="5">
        <f>H6*G6</f>
        <v/>
      </c>
      <c r="J6" s="31" t="n">
        <v>0.08</v>
      </c>
      <c r="K6" s="6">
        <f>I6*J6</f>
        <v/>
      </c>
      <c r="L6" s="27" t="inlineStr">
        <is>
          <t>VN-TQ</t>
        </is>
      </c>
      <c r="M6" s="83">
        <f>IF('Danh gia LN'!E33="","",ROUNDUP('Danh gia LN'!E33*(1+'Danh gia LN'!$D$4),-3))</f>
        <v/>
      </c>
      <c r="N6" s="83">
        <f>IF('Danh gia LN'!F33="","",ROUNDUP('Danh gia LN'!F33*(1+'Danh gia LN'!$D$4),-3))</f>
        <v/>
      </c>
      <c r="O6" s="79" t="n"/>
    </row>
    <row r="7" ht="37.5" customHeight="1">
      <c r="A7" s="4" t="n">
        <v>3</v>
      </c>
      <c r="B7" s="11" t="inlineStr">
        <is>
          <t>Bộ nội quy tiêu lệnh chữa cháy - Chất liệu bằng tôn</t>
        </is>
      </c>
      <c r="C7" s="4" t="inlineStr">
        <is>
          <t>cái</t>
        </is>
      </c>
      <c r="D7" s="4" t="n">
        <v>5</v>
      </c>
      <c r="E7" s="4" t="n">
        <v>4</v>
      </c>
      <c r="F7" s="4" t="n">
        <v>6</v>
      </c>
      <c r="G7" s="82">
        <f>SUM(D7:F7)</f>
        <v/>
      </c>
      <c r="H7" s="5" t="n">
        <v>40000</v>
      </c>
      <c r="I7" s="5">
        <f>H7*G7</f>
        <v/>
      </c>
      <c r="J7" s="31" t="n">
        <v>0.08</v>
      </c>
      <c r="K7" s="6">
        <f>I7*J7</f>
        <v/>
      </c>
      <c r="L7" s="27" t="inlineStr">
        <is>
          <t>VN</t>
        </is>
      </c>
      <c r="M7" s="83">
        <f>IF('Danh gia LN'!E38="","",ROUNDUP('Danh gia LN'!E38*(1+'Danh gia LN'!$D$4),-3))</f>
        <v/>
      </c>
      <c r="N7" s="83">
        <f>IF('Danh gia LN'!F38="","",ROUNDUP('Danh gia LN'!F38*(1+'Danh gia LN'!$D$4),-3))</f>
        <v/>
      </c>
      <c r="O7" s="79" t="n"/>
    </row>
    <row r="8" ht="18.75" customHeight="1">
      <c r="A8" s="4" t="n">
        <v>4</v>
      </c>
      <c r="B8" s="11" t="inlineStr">
        <is>
          <t>Kệ đỡ bình chữa cháy</t>
        </is>
      </c>
      <c r="C8" s="4" t="inlineStr">
        <is>
          <t>cái</t>
        </is>
      </c>
      <c r="D8" s="4" t="n">
        <v>5</v>
      </c>
      <c r="E8" s="4" t="n">
        <v>4</v>
      </c>
      <c r="F8" s="4" t="n">
        <v>5</v>
      </c>
      <c r="G8" s="82">
        <f>SUM(D8:F8)</f>
        <v/>
      </c>
      <c r="H8" s="5" t="n">
        <v>110000</v>
      </c>
      <c r="I8" s="5">
        <f>H8*G8</f>
        <v/>
      </c>
      <c r="J8" s="31" t="n">
        <v>0.1</v>
      </c>
      <c r="K8" s="6">
        <f>I8*J8</f>
        <v/>
      </c>
      <c r="L8" s="27" t="inlineStr">
        <is>
          <t>VN</t>
        </is>
      </c>
      <c r="M8" s="83">
        <f>IF('Danh gia LN'!E39="","",ROUNDUP('Danh gia LN'!E39*(1+'Danh gia LN'!$D$4),-3))</f>
        <v/>
      </c>
      <c r="N8" s="83">
        <f>IF('Danh gia LN'!F39="","",ROUNDUP('Danh gia LN'!F39*(1+'Danh gia LN'!$D$4),-3))</f>
        <v/>
      </c>
      <c r="O8" s="79" t="n"/>
    </row>
    <row r="9" ht="18.75" customHeight="1">
      <c r="A9" s="4" t="n">
        <v>5</v>
      </c>
      <c r="B9" s="11" t="inlineStr">
        <is>
          <t>BÌNH BỘT ABC 8KG</t>
        </is>
      </c>
      <c r="C9" s="4" t="inlineStr">
        <is>
          <t>cái</t>
        </is>
      </c>
      <c r="D9" s="4" t="n">
        <v>10</v>
      </c>
      <c r="E9" s="4" t="n">
        <v>8</v>
      </c>
      <c r="F9" s="4" t="n">
        <v>10</v>
      </c>
      <c r="G9" s="82">
        <f>SUM(D9:F9)</f>
        <v/>
      </c>
      <c r="H9" s="5" t="n">
        <v>550000</v>
      </c>
      <c r="I9" s="5">
        <f>H9*G9</f>
        <v/>
      </c>
      <c r="J9" s="31" t="n">
        <v>0.08</v>
      </c>
      <c r="K9" s="6">
        <f>I9*J9</f>
        <v/>
      </c>
      <c r="L9" s="27" t="inlineStr">
        <is>
          <t>VN</t>
        </is>
      </c>
      <c r="M9" s="83">
        <f>IF('Danh gia LN'!E40="","",ROUNDUP('Danh gia LN'!E40*(1+'Danh gia LN'!$D$4),-3))</f>
        <v/>
      </c>
      <c r="N9" s="83">
        <f>IF('Danh gia LN'!F40="","",ROUNDUP('Danh gia LN'!F40*(1+'Danh gia LN'!$D$4),-3))</f>
        <v/>
      </c>
      <c r="O9" s="79" t="n"/>
    </row>
    <row r="10" ht="18.75" customHeight="1">
      <c r="A10" s="4" t="n">
        <v>6</v>
      </c>
      <c r="B10" s="11" t="inlineStr">
        <is>
          <t>Sơ đồ chỉ dẫn thoát hiểm 400x600</t>
        </is>
      </c>
      <c r="C10" s="4" t="inlineStr">
        <is>
          <t>cái</t>
        </is>
      </c>
      <c r="D10" s="15" t="n"/>
      <c r="E10" s="4" t="n">
        <v>2</v>
      </c>
      <c r="F10" s="15" t="n">
        <v>3</v>
      </c>
      <c r="G10" s="82">
        <f>SUM(D10:F10)</f>
        <v/>
      </c>
      <c r="H10" s="5" t="n">
        <v>150000</v>
      </c>
      <c r="I10" s="5">
        <f>H10*G10</f>
        <v/>
      </c>
      <c r="J10" s="31" t="n">
        <v>0.08</v>
      </c>
      <c r="K10" s="6">
        <f>I10*J10</f>
        <v/>
      </c>
      <c r="L10" s="27" t="inlineStr">
        <is>
          <t>VN</t>
        </is>
      </c>
      <c r="M10" s="83">
        <f>IF('Danh gia LN'!E43="","",ROUNDUP('Danh gia LN'!E43*(1+'Danh gia LN'!$D$4),-3))</f>
        <v/>
      </c>
      <c r="N10" s="83">
        <f>IF('Danh gia LN'!F43="","",ROUNDUP('Danh gia LN'!F43*(1+'Danh gia LN'!$D$4),-3))</f>
        <v/>
      </c>
      <c r="O10" s="79" t="n"/>
    </row>
    <row r="11" ht="18.75" customHeight="1">
      <c r="B11" s="33" t="inlineStr">
        <is>
          <t>TỔNG TRƯỚC THUẾ</t>
        </is>
      </c>
      <c r="C11" s="9" t="n"/>
      <c r="D11" s="34" t="n"/>
      <c r="E11" s="34" t="n"/>
      <c r="F11" s="34" t="n"/>
      <c r="G11" s="35" t="n"/>
      <c r="H11" s="34" t="n"/>
      <c r="I11" s="38">
        <f>SUM(I5:I10)</f>
        <v/>
      </c>
      <c r="J11" s="38" t="n"/>
      <c r="K11" s="38">
        <f>SUM(K5:K10)</f>
        <v/>
      </c>
      <c r="L11" s="38">
        <f>SUM(L5:L10)</f>
        <v/>
      </c>
      <c r="M11" s="81" t="n"/>
      <c r="N11" s="81" t="n"/>
      <c r="O11" s="79" t="n"/>
    </row>
    <row r="12">
      <c r="B12" s="33" t="inlineStr">
        <is>
          <t>TỔNG SAU THUẾ</t>
        </is>
      </c>
      <c r="C12" s="34" t="n"/>
      <c r="D12" s="34" t="n"/>
      <c r="E12" s="34" t="n"/>
      <c r="F12" s="34" t="n"/>
      <c r="G12" s="35" t="n"/>
      <c r="H12" s="34" t="n"/>
      <c r="I12" s="38">
        <f>I11+K11</f>
        <v/>
      </c>
      <c r="J12" s="37" t="n"/>
      <c r="K12" s="34" t="n"/>
      <c r="L12" s="36" t="n"/>
      <c r="M12" s="81" t="n"/>
      <c r="N12" s="81" t="n"/>
      <c r="O12" s="79" t="n"/>
    </row>
  </sheetData>
  <mergeCells count="2">
    <mergeCell ref="A2:K2"/>
    <mergeCell ref="A1:K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M35"/>
  <sheetViews>
    <sheetView tabSelected="1" view="pageBreakPreview" zoomScaleNormal="100" zoomScaleSheetLayoutView="100" workbookViewId="0">
      <selection activeCell="J19" sqref="J19"/>
    </sheetView>
  </sheetViews>
  <sheetFormatPr baseColWidth="8" defaultRowHeight="18.75"/>
  <cols>
    <col width="7.28515625" customWidth="1" style="21" min="1" max="1"/>
    <col width="50.85546875" customWidth="1" style="25" min="2" max="2"/>
    <col width="8.28515625" customWidth="1" style="22" min="3" max="3"/>
    <col width="13.42578125" customWidth="1" style="22" min="4" max="4"/>
    <col width="17.85546875" customWidth="1" style="23" min="5" max="5"/>
    <col width="18.7109375" customWidth="1" style="24" min="6" max="6"/>
    <col width="12.140625" bestFit="1" customWidth="1" style="46" min="7" max="7"/>
    <col width="14.42578125" customWidth="1" style="48" min="8" max="8"/>
    <col width="15.85546875" customWidth="1" style="39" min="9" max="9"/>
    <col width="20" customWidth="1" min="10" max="10"/>
    <col width="20" customWidth="1" min="11" max="11"/>
    <col width="13" customWidth="1" min="12" max="12"/>
    <col width="13" customWidth="1" min="13" max="13"/>
    <col width="13" customWidth="1" min="14" max="14"/>
    <col width="13" customWidth="1" min="15" max="15"/>
    <col width="13" customWidth="1" min="16" max="16"/>
    <col width="13" customWidth="1" min="17" max="17"/>
  </cols>
  <sheetData>
    <row r="1">
      <c r="A1" s="55" t="inlineStr">
        <is>
          <t>BẢNG TỔNG HỢP THIẾT BỊ</t>
        </is>
      </c>
      <c r="J1" s="79" t="n"/>
      <c r="K1" s="79" t="n"/>
      <c r="L1" s="79" t="n"/>
      <c r="M1" s="79" t="n"/>
    </row>
    <row r="2">
      <c r="A2" s="56" t="n"/>
      <c r="J2" s="79" t="n"/>
      <c r="K2" s="79" t="n"/>
      <c r="L2" s="79" t="n"/>
      <c r="M2" s="79" t="n"/>
    </row>
    <row r="3" ht="37.5" customHeight="1">
      <c r="A3" s="16" t="inlineStr">
        <is>
          <t>STT</t>
        </is>
      </c>
      <c r="B3" s="16" t="inlineStr">
        <is>
          <t>Tên thiết bị</t>
        </is>
      </c>
      <c r="C3" s="16" t="inlineStr">
        <is>
          <t>Đơn vị</t>
        </is>
      </c>
      <c r="D3" s="16" t="inlineStr">
        <is>
          <t>Khối lượng</t>
        </is>
      </c>
      <c r="E3" s="3" t="inlineStr">
        <is>
          <t>Đơn giá trước thuế</t>
        </is>
      </c>
      <c r="F3" s="3" t="inlineStr">
        <is>
          <t>Thành tiền trước thuế</t>
        </is>
      </c>
      <c r="G3" s="29" t="inlineStr">
        <is>
          <t>Thuế suất</t>
        </is>
      </c>
      <c r="H3" s="49" t="inlineStr">
        <is>
          <t xml:space="preserve">Tiền thuế </t>
        </is>
      </c>
      <c r="I3" s="3" t="inlineStr">
        <is>
          <t>NSX</t>
        </is>
      </c>
      <c r="J3" s="80" t="inlineStr">
        <is>
          <t>Giá vật tư đề xuất (trước thuế)</t>
        </is>
      </c>
      <c r="K3" s="80" t="inlineStr">
        <is>
          <t>Giá nhân công đề xuất (trước thuế)</t>
        </is>
      </c>
      <c r="L3" s="79" t="n"/>
      <c r="M3" s="79" t="n"/>
    </row>
    <row r="4">
      <c r="A4" s="17" t="n">
        <v>1</v>
      </c>
      <c r="B4" s="11" t="inlineStr">
        <is>
          <t>Trung tâm báo cháy 8 kênh bao gồm Acquy</t>
        </is>
      </c>
      <c r="C4" s="17" t="inlineStr">
        <is>
          <t>cái</t>
        </is>
      </c>
      <c r="D4" s="17" t="n">
        <v>2</v>
      </c>
      <c r="E4" s="18" t="n">
        <v>6500000</v>
      </c>
      <c r="F4" s="19">
        <f>D4*E4</f>
        <v/>
      </c>
      <c r="G4" s="45" t="n">
        <v>0.08</v>
      </c>
      <c r="H4" s="51">
        <f>F4*G4</f>
        <v/>
      </c>
      <c r="I4" s="40" t="inlineStr">
        <is>
          <t>Taiwan</t>
        </is>
      </c>
      <c r="J4" s="83">
        <f>IF('Danh gia LN'!E16="","",ROUNDUP('Danh gia LN'!E16*(1+'Danh gia LN'!$D$4),-3))</f>
        <v/>
      </c>
      <c r="K4" s="83">
        <f>IF('Danh gia LN'!F16="","",ROUNDUP('Danh gia LN'!F16*(1+'Danh gia LN'!$D$4),-3))</f>
        <v/>
      </c>
      <c r="L4" s="79" t="n"/>
      <c r="M4" s="79" t="n"/>
    </row>
    <row r="5">
      <c r="A5" s="17">
        <f>A4+1</f>
        <v/>
      </c>
      <c r="B5" s="11" t="inlineStr">
        <is>
          <t>Trung tâm báo cháy 5 kênh bao gồm Acquy</t>
        </is>
      </c>
      <c r="C5" s="17" t="inlineStr">
        <is>
          <t>cái</t>
        </is>
      </c>
      <c r="D5" s="17" t="n">
        <v>1</v>
      </c>
      <c r="E5" s="18" t="n">
        <v>5500000</v>
      </c>
      <c r="F5" s="19">
        <f>D5*E5</f>
        <v/>
      </c>
      <c r="G5" s="45" t="n">
        <v>0.08</v>
      </c>
      <c r="H5" s="51">
        <f>F5*G5</f>
        <v/>
      </c>
      <c r="I5" s="40" t="inlineStr">
        <is>
          <t>Taiwan</t>
        </is>
      </c>
      <c r="J5" s="83">
        <f>IF('Danh gia LN'!E17="","",ROUNDUP('Danh gia LN'!E17*(1+'Danh gia LN'!$D$4),-3))</f>
        <v/>
      </c>
      <c r="K5" s="83">
        <f>IF('Danh gia LN'!F17="","",ROUNDUP('Danh gia LN'!F17*(1+'Danh gia LN'!$D$4),-3))</f>
        <v/>
      </c>
      <c r="L5" s="79" t="n"/>
      <c r="M5" s="79" t="n"/>
    </row>
    <row r="6">
      <c r="A6" s="17">
        <f>A5+1</f>
        <v/>
      </c>
      <c r="B6" s="11" t="inlineStr">
        <is>
          <t>Còi đèn báo cháy kết hợp</t>
        </is>
      </c>
      <c r="C6" s="17" t="inlineStr">
        <is>
          <t>cái</t>
        </is>
      </c>
      <c r="D6" s="17" t="n">
        <v>17</v>
      </c>
      <c r="E6" s="18" t="n">
        <v>250000</v>
      </c>
      <c r="F6" s="19">
        <f>D6*E6</f>
        <v/>
      </c>
      <c r="G6" s="45" t="n">
        <v>0.08</v>
      </c>
      <c r="H6" s="51">
        <f>F6*G6</f>
        <v/>
      </c>
      <c r="I6" s="40" t="inlineStr">
        <is>
          <t>TQ</t>
        </is>
      </c>
      <c r="J6" s="83">
        <f>IF('Danh gia LN'!E18="","",ROUNDUP('Danh gia LN'!E18*(1+'Danh gia LN'!$D$4),-3))</f>
        <v/>
      </c>
      <c r="K6" s="83">
        <f>IF('Danh gia LN'!F18="","",ROUNDUP('Danh gia LN'!F18*(1+'Danh gia LN'!$D$4),-3))</f>
        <v/>
      </c>
      <c r="L6" s="79" t="n"/>
      <c r="M6" s="79" t="n"/>
    </row>
    <row r="7">
      <c r="A7" s="17">
        <f>A6+1</f>
        <v/>
      </c>
      <c r="B7" s="11" t="inlineStr">
        <is>
          <t>Nút ấn khẩn tròn lắp nổi</t>
        </is>
      </c>
      <c r="C7" s="17" t="inlineStr">
        <is>
          <t>cái</t>
        </is>
      </c>
      <c r="D7" s="17" t="n">
        <v>17</v>
      </c>
      <c r="E7" s="18" t="n">
        <v>200000</v>
      </c>
      <c r="F7" s="19">
        <f>D7*E7</f>
        <v/>
      </c>
      <c r="G7" s="45" t="n">
        <v>0.08</v>
      </c>
      <c r="H7" s="51">
        <f>F7*G7</f>
        <v/>
      </c>
      <c r="I7" s="40" t="inlineStr">
        <is>
          <t>TQ</t>
        </is>
      </c>
      <c r="J7" s="83">
        <f>IF('Danh gia LN'!E19="","",ROUNDUP('Danh gia LN'!E19*(1+'Danh gia LN'!$D$4),-3))</f>
        <v/>
      </c>
      <c r="K7" s="83">
        <f>IF('Danh gia LN'!F19="","",ROUNDUP('Danh gia LN'!F19*(1+'Danh gia LN'!$D$4),-3))</f>
        <v/>
      </c>
      <c r="L7" s="79" t="n"/>
      <c r="M7" s="79" t="n"/>
    </row>
    <row r="8">
      <c r="A8" s="17">
        <f>A7+1</f>
        <v/>
      </c>
      <c r="B8" s="11" t="inlineStr">
        <is>
          <t>Đầu báo khói quang 24VDC</t>
        </is>
      </c>
      <c r="C8" s="17" t="inlineStr">
        <is>
          <t>cái</t>
        </is>
      </c>
      <c r="D8" s="17" t="n">
        <v>166</v>
      </c>
      <c r="E8" s="18" t="n">
        <v>250000</v>
      </c>
      <c r="F8" s="19">
        <f>D8*E8</f>
        <v/>
      </c>
      <c r="G8" s="45" t="n">
        <v>0.08</v>
      </c>
      <c r="H8" s="51">
        <f>F8*G8</f>
        <v/>
      </c>
      <c r="I8" s="40" t="inlineStr">
        <is>
          <t>Taiwan</t>
        </is>
      </c>
      <c r="J8" s="83">
        <f>IF('Danh gia LN'!E20="","",ROUNDUP('Danh gia LN'!E20*(1+'Danh gia LN'!$D$4),-3))</f>
        <v/>
      </c>
      <c r="K8" s="83">
        <f>IF('Danh gia LN'!F20="","",ROUNDUP('Danh gia LN'!F20*(1+'Danh gia LN'!$D$4),-3))</f>
        <v/>
      </c>
      <c r="L8" s="79" t="n"/>
      <c r="M8" s="79" t="n"/>
    </row>
    <row r="9">
      <c r="A9" s="17">
        <f>A8+1</f>
        <v/>
      </c>
      <c r="B9" s="11" t="inlineStr">
        <is>
          <t>Đèn báo phòng</t>
        </is>
      </c>
      <c r="C9" s="17" t="inlineStr">
        <is>
          <t>cái</t>
        </is>
      </c>
      <c r="D9" s="17" t="n">
        <v>46</v>
      </c>
      <c r="E9" s="18" t="n">
        <v>50000</v>
      </c>
      <c r="F9" s="19">
        <f>D9*E9</f>
        <v/>
      </c>
      <c r="G9" s="45" t="n">
        <v>0.08</v>
      </c>
      <c r="H9" s="51">
        <f>F9*G9</f>
        <v/>
      </c>
      <c r="I9" s="40" t="inlineStr">
        <is>
          <t>VN</t>
        </is>
      </c>
      <c r="J9" s="83">
        <f>IF('Danh gia LN'!E21="","",ROUNDUP('Danh gia LN'!E21*(1+'Danh gia LN'!$D$4),-3))</f>
        <v/>
      </c>
      <c r="K9" s="83">
        <f>IF('Danh gia LN'!F21="","",ROUNDUP('Danh gia LN'!F21*(1+'Danh gia LN'!$D$4),-3))</f>
        <v/>
      </c>
      <c r="L9" s="79" t="n"/>
      <c r="M9" s="79" t="n"/>
    </row>
    <row r="10" customFormat="1" s="64">
      <c r="A10" s="57">
        <f>A9+1</f>
        <v/>
      </c>
      <c r="B10" s="58" t="inlineStr">
        <is>
          <t>Đầu báo nhiệt cố định 70 độ C</t>
        </is>
      </c>
      <c r="C10" s="57" t="inlineStr">
        <is>
          <t>cái</t>
        </is>
      </c>
      <c r="D10" s="57" t="n">
        <v>3</v>
      </c>
      <c r="E10" s="59" t="n"/>
      <c r="F10" s="60">
        <f>D10*E10</f>
        <v/>
      </c>
      <c r="G10" s="61" t="n"/>
      <c r="H10" s="62">
        <f>F10*G10</f>
        <v/>
      </c>
      <c r="I10" s="63" t="n"/>
      <c r="J10" s="83">
        <f>IF('Danh gia LN'!E22="","",ROUNDUP('Danh gia LN'!E22*(1+'Danh gia LN'!$D$4),-3))</f>
        <v/>
      </c>
      <c r="K10" s="83">
        <f>IF('Danh gia LN'!F22="","",ROUNDUP('Danh gia LN'!F22*(1+'Danh gia LN'!$D$4),-3))</f>
        <v/>
      </c>
      <c r="L10" s="79" t="n"/>
      <c r="M10" s="79" t="n"/>
    </row>
    <row r="11">
      <c r="A11" s="17">
        <f>A10+1</f>
        <v/>
      </c>
      <c r="B11" s="11" t="inlineStr">
        <is>
          <t>Cọc tiếp địa mạ đồng D16 L=2,4m</t>
        </is>
      </c>
      <c r="C11" s="17" t="inlineStr">
        <is>
          <t>cái</t>
        </is>
      </c>
      <c r="D11" s="17" t="n">
        <v>3</v>
      </c>
      <c r="E11" s="18" t="n">
        <v>280000</v>
      </c>
      <c r="F11" s="19">
        <f>D11*E11</f>
        <v/>
      </c>
      <c r="G11" s="45" t="n">
        <v>0.1</v>
      </c>
      <c r="H11" s="51">
        <f>F11*G11</f>
        <v/>
      </c>
      <c r="I11" s="40" t="inlineStr">
        <is>
          <t>Ấn độ</t>
        </is>
      </c>
      <c r="J11" s="83">
        <f>IF('Danh gia LN'!E23="","",ROUNDUP('Danh gia LN'!E23*(1+'Danh gia LN'!$D$4),-3))</f>
        <v/>
      </c>
      <c r="K11" s="83">
        <f>IF('Danh gia LN'!F23="","",ROUNDUP('Danh gia LN'!F23*(1+'Danh gia LN'!$D$4),-3))</f>
        <v/>
      </c>
      <c r="L11" s="79" t="n"/>
      <c r="M11" s="79" t="n"/>
    </row>
    <row r="12">
      <c r="A12" s="17">
        <f>A11+1</f>
        <v/>
      </c>
      <c r="B12" s="11" t="inlineStr">
        <is>
          <t>Co thép đen hàn DN65</t>
        </is>
      </c>
      <c r="C12" s="17" t="inlineStr">
        <is>
          <t>cái</t>
        </is>
      </c>
      <c r="D12" s="17" t="n">
        <v>40</v>
      </c>
      <c r="E12" s="18" t="n">
        <v>65000</v>
      </c>
      <c r="F12" s="19">
        <f>D12*E12</f>
        <v/>
      </c>
      <c r="G12" s="45" t="n">
        <v>0.1</v>
      </c>
      <c r="H12" s="51">
        <f>F12*G12</f>
        <v/>
      </c>
      <c r="I12" s="40" t="inlineStr">
        <is>
          <t>TQ</t>
        </is>
      </c>
      <c r="J12" s="83">
        <f>IF('Danh gia LN'!E24="","",ROUNDUP('Danh gia LN'!E24*(1+'Danh gia LN'!$D$4),-3))</f>
        <v/>
      </c>
      <c r="K12" s="83">
        <f>IF('Danh gia LN'!F24="","",ROUNDUP('Danh gia LN'!F24*(1+'Danh gia LN'!$D$4),-3))</f>
        <v/>
      </c>
      <c r="L12" s="79" t="n"/>
      <c r="M12" s="79" t="n"/>
    </row>
    <row r="13">
      <c r="A13" s="17">
        <f>A12+1</f>
        <v/>
      </c>
      <c r="B13" s="11" t="inlineStr">
        <is>
          <t>Co thép đen hàn DN50</t>
        </is>
      </c>
      <c r="C13" s="17" t="inlineStr">
        <is>
          <t>cái</t>
        </is>
      </c>
      <c r="D13" s="17" t="n">
        <v>90</v>
      </c>
      <c r="E13" s="18" t="n">
        <v>50000</v>
      </c>
      <c r="F13" s="19">
        <f>D13*E13</f>
        <v/>
      </c>
      <c r="G13" s="45" t="n">
        <v>0.1</v>
      </c>
      <c r="H13" s="51">
        <f>F13*G13</f>
        <v/>
      </c>
      <c r="I13" s="40" t="inlineStr">
        <is>
          <t>TQ</t>
        </is>
      </c>
      <c r="J13" s="83">
        <f>IF('Danh gia LN'!E25="","",ROUNDUP('Danh gia LN'!E25*(1+'Danh gia LN'!$D$4),-3))</f>
        <v/>
      </c>
      <c r="K13" s="83">
        <f>IF('Danh gia LN'!F25="","",ROUNDUP('Danh gia LN'!F25*(1+'Danh gia LN'!$D$4),-3))</f>
        <v/>
      </c>
      <c r="L13" s="79" t="n"/>
      <c r="M13" s="79" t="n"/>
    </row>
    <row r="14">
      <c r="A14" s="17">
        <f>A13+1</f>
        <v/>
      </c>
      <c r="B14" s="11" t="inlineStr">
        <is>
          <t>Tê thép đen hàn DN65</t>
        </is>
      </c>
      <c r="C14" s="17" t="inlineStr">
        <is>
          <t>cái</t>
        </is>
      </c>
      <c r="D14" s="17" t="n">
        <v>30</v>
      </c>
      <c r="E14" s="18" t="n">
        <v>165000</v>
      </c>
      <c r="F14" s="19">
        <f>D14*E14</f>
        <v/>
      </c>
      <c r="G14" s="45" t="n">
        <v>0.1</v>
      </c>
      <c r="H14" s="51">
        <f>F14*G14</f>
        <v/>
      </c>
      <c r="I14" s="40" t="inlineStr">
        <is>
          <t>TQ</t>
        </is>
      </c>
      <c r="J14" s="83">
        <f>IF('Danh gia LN'!E26="","",ROUNDUP('Danh gia LN'!E26*(1+'Danh gia LN'!$D$4),-3))</f>
        <v/>
      </c>
      <c r="K14" s="83">
        <f>IF('Danh gia LN'!F26="","",ROUNDUP('Danh gia LN'!F26*(1+'Danh gia LN'!$D$4),-3))</f>
        <v/>
      </c>
      <c r="L14" s="79" t="n"/>
      <c r="M14" s="79" t="n"/>
    </row>
    <row r="15">
      <c r="A15" s="17">
        <f>A14+1</f>
        <v/>
      </c>
      <c r="B15" s="11" t="inlineStr">
        <is>
          <t>Tê giảm thép đen hàn DN65</t>
        </is>
      </c>
      <c r="C15" s="17" t="inlineStr">
        <is>
          <t>cái</t>
        </is>
      </c>
      <c r="D15" s="17" t="n"/>
      <c r="E15" s="18" t="n"/>
      <c r="F15" s="19">
        <f>D15*E15</f>
        <v/>
      </c>
      <c r="G15" s="45" t="n">
        <v>0.1</v>
      </c>
      <c r="H15" s="51">
        <f>F15*G15</f>
        <v/>
      </c>
      <c r="I15" s="40" t="inlineStr">
        <is>
          <t>TQ</t>
        </is>
      </c>
      <c r="J15" s="81" t="n"/>
      <c r="K15" s="81" t="n"/>
      <c r="L15" s="79" t="n"/>
      <c r="M15" s="79" t="n"/>
    </row>
    <row r="16">
      <c r="A16" s="17">
        <f>A15+1</f>
        <v/>
      </c>
      <c r="B16" s="11" t="inlineStr">
        <is>
          <t>Tê thép hàn tráng kẽm DN50</t>
        </is>
      </c>
      <c r="C16" s="17" t="inlineStr">
        <is>
          <t>cái</t>
        </is>
      </c>
      <c r="D16" s="17" t="n">
        <v>18</v>
      </c>
      <c r="E16" s="18" t="n">
        <v>150000</v>
      </c>
      <c r="F16" s="19">
        <f>D16*E16</f>
        <v/>
      </c>
      <c r="G16" s="45" t="n">
        <v>0.1</v>
      </c>
      <c r="H16" s="51">
        <f>F16*G16</f>
        <v/>
      </c>
      <c r="I16" s="40" t="inlineStr">
        <is>
          <t>TQ</t>
        </is>
      </c>
      <c r="J16" s="83">
        <f>IF('Danh gia LN'!E27="","",ROUNDUP('Danh gia LN'!E27*(1+'Danh gia LN'!$D$4),-3))</f>
        <v/>
      </c>
      <c r="K16" s="83">
        <f>IF('Danh gia LN'!F27="","",ROUNDUP('Danh gia LN'!F27*(1+'Danh gia LN'!$D$4),-3))</f>
        <v/>
      </c>
      <c r="L16" s="79" t="n"/>
      <c r="M16" s="79" t="n"/>
    </row>
    <row r="17" ht="37.5" customHeight="1">
      <c r="A17" s="17">
        <f>A16+1</f>
        <v/>
      </c>
      <c r="B17" s="11" t="inlineStr">
        <is>
          <t>Mặt bích thép đen DN65 + bulong + roăng su</t>
        </is>
      </c>
      <c r="C17" s="17" t="inlineStr">
        <is>
          <t>cái</t>
        </is>
      </c>
      <c r="D17" s="17" t="n">
        <v>60</v>
      </c>
      <c r="E17" s="18" t="n">
        <v>76000</v>
      </c>
      <c r="F17" s="19">
        <f>D17*E17</f>
        <v/>
      </c>
      <c r="G17" s="45" t="n">
        <v>0.1</v>
      </c>
      <c r="H17" s="51">
        <f>F17*G17</f>
        <v/>
      </c>
      <c r="I17" s="40" t="inlineStr">
        <is>
          <t>TQ</t>
        </is>
      </c>
      <c r="J17" s="83">
        <f>IF('Danh gia LN'!E28="","",ROUNDUP('Danh gia LN'!E28*(1+'Danh gia LN'!$D$4),-3))</f>
        <v/>
      </c>
      <c r="K17" s="83">
        <f>IF('Danh gia LN'!F28="","",ROUNDUP('Danh gia LN'!F28*(1+'Danh gia LN'!$D$4),-3))</f>
        <v/>
      </c>
      <c r="L17" s="79" t="n"/>
      <c r="M17" s="79" t="n"/>
    </row>
    <row r="18" ht="37.5" customHeight="1">
      <c r="A18" s="17">
        <f>A17+1</f>
        <v/>
      </c>
      <c r="B18" s="11" t="inlineStr">
        <is>
          <t>Đồng hồ áp xuất kèm xi phông, van khóa và socket</t>
        </is>
      </c>
      <c r="C18" s="17" t="inlineStr">
        <is>
          <t>cái</t>
        </is>
      </c>
      <c r="D18" s="17" t="n">
        <v>7</v>
      </c>
      <c r="E18" s="18" t="n">
        <v>600000</v>
      </c>
      <c r="F18" s="19">
        <f>D18*E18</f>
        <v/>
      </c>
      <c r="G18" s="45" t="n">
        <v>0.08</v>
      </c>
      <c r="H18" s="51">
        <f>F18*G18</f>
        <v/>
      </c>
      <c r="I18" s="40" t="inlineStr">
        <is>
          <t>TQ</t>
        </is>
      </c>
      <c r="J18" s="83">
        <f>IF('Danh gia LN'!E29="","",ROUNDUP('Danh gia LN'!E29*(1+'Danh gia LN'!$D$4),-3))</f>
        <v/>
      </c>
      <c r="K18" s="83">
        <f>IF('Danh gia LN'!F29="","",ROUNDUP('Danh gia LN'!F29*(1+'Danh gia LN'!$D$4),-3))</f>
        <v/>
      </c>
      <c r="L18" s="79" t="n"/>
      <c r="M18" s="79" t="n"/>
    </row>
    <row r="19">
      <c r="A19" s="57">
        <f>A18+1</f>
        <v/>
      </c>
      <c r="B19" s="58" t="inlineStr">
        <is>
          <t>Rơ le kiểm tra mực nước</t>
        </is>
      </c>
      <c r="C19" s="57" t="inlineStr">
        <is>
          <t>cái</t>
        </is>
      </c>
      <c r="D19" s="57" t="n">
        <v>3</v>
      </c>
      <c r="E19" s="59" t="n"/>
      <c r="F19" s="60">
        <f>D19*E19</f>
        <v/>
      </c>
      <c r="G19" s="61" t="n">
        <v>0.08</v>
      </c>
      <c r="H19" s="62">
        <f>F19*G19</f>
        <v/>
      </c>
      <c r="I19" s="63" t="inlineStr">
        <is>
          <t>TQ</t>
        </is>
      </c>
      <c r="J19" s="83">
        <f>IF('Danh gia LN'!E30="","",ROUNDUP('Danh gia LN'!E30*(1+'Danh gia LN'!$D$4),-3))</f>
        <v/>
      </c>
      <c r="K19" s="83">
        <f>IF('Danh gia LN'!F30="","",ROUNDUP('Danh gia LN'!F30*(1+'Danh gia LN'!$D$4),-3))</f>
        <v/>
      </c>
      <c r="L19" s="79" t="n"/>
      <c r="M19" s="79" t="n"/>
    </row>
    <row r="20" ht="24" customHeight="1">
      <c r="A20" s="17">
        <f>A19+1</f>
        <v/>
      </c>
      <c r="B20" s="11" t="inlineStr">
        <is>
          <t>Tủ điều khiển máy bơm</t>
        </is>
      </c>
      <c r="C20" s="17" t="inlineStr">
        <is>
          <t>cái</t>
        </is>
      </c>
      <c r="D20" s="17" t="n">
        <v>3</v>
      </c>
      <c r="E20" s="18" t="n">
        <v>6500000</v>
      </c>
      <c r="F20" s="19">
        <f>D20*E20</f>
        <v/>
      </c>
      <c r="G20" s="45" t="n">
        <v>0.08</v>
      </c>
      <c r="H20" s="51">
        <f>F20*G20</f>
        <v/>
      </c>
      <c r="I20" s="40" t="inlineStr">
        <is>
          <t>TQ</t>
        </is>
      </c>
      <c r="J20" s="83">
        <f>IF('Danh gia LN'!E31="","",ROUNDUP('Danh gia LN'!E31*(1+'Danh gia LN'!$D$4),-3))</f>
        <v/>
      </c>
      <c r="K20" s="83">
        <f>IF('Danh gia LN'!F31="","",ROUNDUP('Danh gia LN'!F31*(1+'Danh gia LN'!$D$4),-3))</f>
        <v/>
      </c>
      <c r="L20" s="79" t="n"/>
      <c r="M20" s="79" t="n"/>
    </row>
    <row r="21" ht="37.5" customHeight="1">
      <c r="A21" s="17">
        <f>A20+1</f>
        <v/>
      </c>
      <c r="B21" s="11" t="inlineStr">
        <is>
          <t>Máy bơm chữa cháy động cơ điện Q: 45m3/h - H: 40m.c.n</t>
        </is>
      </c>
      <c r="C21" s="17" t="inlineStr">
        <is>
          <t>cái</t>
        </is>
      </c>
      <c r="D21" s="17">
        <f>tb!G5</f>
        <v/>
      </c>
      <c r="E21" s="18" t="n">
        <v>13000000</v>
      </c>
      <c r="F21" s="19">
        <f>D21*E21</f>
        <v/>
      </c>
      <c r="G21" s="45" t="n">
        <v>0.08</v>
      </c>
      <c r="H21" s="51">
        <f>F21*G21</f>
        <v/>
      </c>
      <c r="I21" s="40" t="inlineStr">
        <is>
          <t>VN-TQ</t>
        </is>
      </c>
      <c r="J21" s="83">
        <f>IF('Danh gia LN'!E32="","",ROUNDUP('Danh gia LN'!E32*(1+'Danh gia LN'!$D$4),-3))</f>
        <v/>
      </c>
      <c r="K21" s="83">
        <f>IF('Danh gia LN'!F32="","",ROUNDUP('Danh gia LN'!F32*(1+'Danh gia LN'!$D$4),-3))</f>
        <v/>
      </c>
      <c r="L21" s="79" t="n"/>
      <c r="M21" s="79" t="n"/>
    </row>
    <row r="22" ht="37.5" customHeight="1">
      <c r="A22" s="17">
        <f>A21+1</f>
        <v/>
      </c>
      <c r="B22" s="11" t="inlineStr">
        <is>
          <t>Máy bơm chữa cháy động cơ nhiên liệu Q: 45m3/h - H: 40m.c.n</t>
        </is>
      </c>
      <c r="C22" s="17" t="inlineStr">
        <is>
          <t>cái</t>
        </is>
      </c>
      <c r="D22" s="17">
        <f>tb!G6</f>
        <v/>
      </c>
      <c r="E22" s="20" t="n">
        <v>20100000</v>
      </c>
      <c r="F22" s="19">
        <f>D22*E22</f>
        <v/>
      </c>
      <c r="G22" s="45" t="n">
        <v>0.08</v>
      </c>
      <c r="H22" s="51">
        <f>F22*G22</f>
        <v/>
      </c>
      <c r="I22" s="40" t="inlineStr">
        <is>
          <t>VN-TQ</t>
        </is>
      </c>
      <c r="J22" s="83">
        <f>IF('Danh gia LN'!E33="","",ROUNDUP('Danh gia LN'!E33*(1+'Danh gia LN'!$D$4),-3))</f>
        <v/>
      </c>
      <c r="K22" s="83">
        <f>IF('Danh gia LN'!F33="","",ROUNDUP('Danh gia LN'!F33*(1+'Danh gia LN'!$D$4),-3))</f>
        <v/>
      </c>
      <c r="L22" s="79" t="n"/>
      <c r="M22" s="79" t="n"/>
    </row>
    <row r="23" ht="37.5" customHeight="1">
      <c r="A23" s="17">
        <f>A22+1</f>
        <v/>
      </c>
      <c r="B23" s="11" t="inlineStr">
        <is>
          <t>Tủ chữa cháy KT: 400x600x200mm, tole dày 0,8mm, sơn tĩnh điện màu đỏ</t>
        </is>
      </c>
      <c r="C23" s="17" t="inlineStr">
        <is>
          <t>cái</t>
        </is>
      </c>
      <c r="D23" s="17" t="n">
        <v>17</v>
      </c>
      <c r="E23" s="18" t="n">
        <v>320000</v>
      </c>
      <c r="F23" s="19">
        <f>D23*E23</f>
        <v/>
      </c>
      <c r="G23" s="45" t="n">
        <v>0.1</v>
      </c>
      <c r="H23" s="51">
        <f>F23*G23</f>
        <v/>
      </c>
      <c r="I23" s="40" t="inlineStr">
        <is>
          <t>VN-TQ</t>
        </is>
      </c>
      <c r="J23" s="83">
        <f>IF('Danh gia LN'!E34="","",ROUNDUP('Danh gia LN'!E34*(1+'Danh gia LN'!$D$4),-3))</f>
        <v/>
      </c>
      <c r="K23" s="83">
        <f>IF('Danh gia LN'!F34="","",ROUNDUP('Danh gia LN'!F34*(1+'Danh gia LN'!$D$4),-3))</f>
        <v/>
      </c>
      <c r="L23" s="79" t="n"/>
      <c r="M23" s="79" t="n"/>
    </row>
    <row r="24" ht="37.5" customHeight="1">
      <c r="A24" s="17">
        <f>A23+1</f>
        <v/>
      </c>
      <c r="B24" s="11" t="inlineStr">
        <is>
          <t>Cuộn vòi chữa cháy Ø50 - L = 20m + lăng phun</t>
        </is>
      </c>
      <c r="C24" s="17" t="inlineStr">
        <is>
          <t>cái</t>
        </is>
      </c>
      <c r="D24" s="17" t="n">
        <v>17</v>
      </c>
      <c r="E24" s="18" t="n">
        <v>480000</v>
      </c>
      <c r="F24" s="19">
        <f>D24*E24</f>
        <v/>
      </c>
      <c r="G24" s="45" t="n">
        <v>0.08</v>
      </c>
      <c r="H24" s="51">
        <f>F24*G24</f>
        <v/>
      </c>
      <c r="I24" s="40" t="inlineStr">
        <is>
          <t>VN-TQ</t>
        </is>
      </c>
      <c r="J24" s="83">
        <f>IF('Danh gia LN'!E35="","",ROUNDUP('Danh gia LN'!E35*(1+'Danh gia LN'!$D$4),-3))</f>
        <v/>
      </c>
      <c r="K24" s="83">
        <f>IF('Danh gia LN'!F35="","",ROUNDUP('Danh gia LN'!F35*(1+'Danh gia LN'!$D$4),-3))</f>
        <v/>
      </c>
      <c r="L24" s="79" t="n"/>
      <c r="M24" s="79" t="n"/>
    </row>
    <row r="25">
      <c r="A25" s="17">
        <f>A24+1</f>
        <v/>
      </c>
      <c r="B25" s="11" t="inlineStr">
        <is>
          <t>Lăng phun DN50</t>
        </is>
      </c>
      <c r="C25" s="17" t="inlineStr">
        <is>
          <t>cái</t>
        </is>
      </c>
      <c r="D25" s="17" t="n">
        <v>17</v>
      </c>
      <c r="E25" s="18" t="n">
        <v>80000</v>
      </c>
      <c r="F25" s="19">
        <f>D25*E25</f>
        <v/>
      </c>
      <c r="G25" s="45" t="n">
        <v>0.1</v>
      </c>
      <c r="H25" s="51">
        <f>F25*G25</f>
        <v/>
      </c>
      <c r="I25" s="40" t="inlineStr">
        <is>
          <t>VN-TQ</t>
        </is>
      </c>
      <c r="J25" s="83">
        <f>IF('Danh gia LN'!E36="","",ROUNDUP('Danh gia LN'!E36*(1+'Danh gia LN'!$D$4),-3))</f>
        <v/>
      </c>
      <c r="K25" s="83">
        <f>IF('Danh gia LN'!F36="","",ROUNDUP('Danh gia LN'!F36*(1+'Danh gia LN'!$D$4),-3))</f>
        <v/>
      </c>
      <c r="L25" s="79" t="n"/>
      <c r="M25" s="79" t="n"/>
    </row>
    <row r="26">
      <c r="A26" s="17">
        <f>A25+1</f>
        <v/>
      </c>
      <c r="B26" s="11" t="inlineStr">
        <is>
          <t>Van góc FUJI DN50</t>
        </is>
      </c>
      <c r="C26" s="17" t="inlineStr">
        <is>
          <t>cái</t>
        </is>
      </c>
      <c r="D26" s="17" t="n">
        <v>17</v>
      </c>
      <c r="E26" s="18" t="n">
        <v>250000</v>
      </c>
      <c r="F26" s="19">
        <f>D26*E26</f>
        <v/>
      </c>
      <c r="G26" s="45" t="n">
        <v>0.1</v>
      </c>
      <c r="H26" s="51">
        <f>F26*G26</f>
        <v/>
      </c>
      <c r="I26" s="40" t="inlineStr">
        <is>
          <t>VN-TQ</t>
        </is>
      </c>
      <c r="J26" s="83">
        <f>IF('Danh gia LN'!E37="","",ROUNDUP('Danh gia LN'!E37*(1+'Danh gia LN'!$D$4),-3))</f>
        <v/>
      </c>
      <c r="K26" s="83">
        <f>IF('Danh gia LN'!F37="","",ROUNDUP('Danh gia LN'!F37*(1+'Danh gia LN'!$D$4),-3))</f>
        <v/>
      </c>
      <c r="L26" s="79" t="n"/>
      <c r="M26" s="79" t="n"/>
    </row>
    <row r="27" ht="37.5" customHeight="1">
      <c r="A27" s="17">
        <f>A26+1</f>
        <v/>
      </c>
      <c r="B27" s="11" t="inlineStr">
        <is>
          <t>Bộ nội quy tiêu lệnh chữa cháy - Chất liệu bằng tôn</t>
        </is>
      </c>
      <c r="C27" s="17" t="inlineStr">
        <is>
          <t>cái</t>
        </is>
      </c>
      <c r="D27" s="17">
        <f>tb!G7</f>
        <v/>
      </c>
      <c r="E27" s="18" t="n">
        <v>40000</v>
      </c>
      <c r="F27" s="19">
        <f>D27*E27</f>
        <v/>
      </c>
      <c r="G27" s="45" t="n">
        <v>0.08</v>
      </c>
      <c r="H27" s="51">
        <f>F27*G27</f>
        <v/>
      </c>
      <c r="I27" s="40" t="inlineStr">
        <is>
          <t>VN</t>
        </is>
      </c>
      <c r="J27" s="83">
        <f>IF('Danh gia LN'!E38="","",ROUNDUP('Danh gia LN'!E38*(1+'Danh gia LN'!$D$4),-3))</f>
        <v/>
      </c>
      <c r="K27" s="83">
        <f>IF('Danh gia LN'!F38="","",ROUNDUP('Danh gia LN'!F38*(1+'Danh gia LN'!$D$4),-3))</f>
        <v/>
      </c>
      <c r="L27" s="79" t="n"/>
      <c r="M27" s="79" t="n"/>
    </row>
    <row r="28">
      <c r="A28" s="17">
        <f>A27+1</f>
        <v/>
      </c>
      <c r="B28" s="11" t="inlineStr">
        <is>
          <t>Kệ đỡ bình chữa cháy</t>
        </is>
      </c>
      <c r="C28" s="17" t="inlineStr">
        <is>
          <t>cái</t>
        </is>
      </c>
      <c r="D28" s="17">
        <f>tb!G8</f>
        <v/>
      </c>
      <c r="E28" s="18" t="n">
        <v>110000</v>
      </c>
      <c r="F28" s="19">
        <f>D28*E28</f>
        <v/>
      </c>
      <c r="G28" s="45" t="n">
        <v>0.1</v>
      </c>
      <c r="H28" s="51">
        <f>F28*G28</f>
        <v/>
      </c>
      <c r="I28" s="40" t="inlineStr">
        <is>
          <t>VN</t>
        </is>
      </c>
      <c r="J28" s="83">
        <f>IF('Danh gia LN'!E39="","",ROUNDUP('Danh gia LN'!E39*(1+'Danh gia LN'!$D$4),-3))</f>
        <v/>
      </c>
      <c r="K28" s="83">
        <f>IF('Danh gia LN'!F39="","",ROUNDUP('Danh gia LN'!F39*(1+'Danh gia LN'!$D$4),-3))</f>
        <v/>
      </c>
      <c r="L28" s="79" t="n"/>
      <c r="M28" s="79" t="n"/>
    </row>
    <row r="29">
      <c r="A29" s="17">
        <f>A28+1</f>
        <v/>
      </c>
      <c r="B29" s="11" t="inlineStr">
        <is>
          <t>BÌNH BỘT ABC 8KG</t>
        </is>
      </c>
      <c r="C29" s="17" t="inlineStr">
        <is>
          <t>cái</t>
        </is>
      </c>
      <c r="D29" s="17">
        <f>tb!G9</f>
        <v/>
      </c>
      <c r="E29" s="18" t="n">
        <v>550000</v>
      </c>
      <c r="F29" s="19">
        <f>D29*E29</f>
        <v/>
      </c>
      <c r="G29" s="45" t="n">
        <v>0.08</v>
      </c>
      <c r="H29" s="51">
        <f>F29*G29</f>
        <v/>
      </c>
      <c r="I29" s="40" t="inlineStr">
        <is>
          <t>VN</t>
        </is>
      </c>
      <c r="J29" s="83">
        <f>IF('Danh gia LN'!E40="","",ROUNDUP('Danh gia LN'!E40*(1+'Danh gia LN'!$D$4),-3))</f>
        <v/>
      </c>
      <c r="K29" s="83">
        <f>IF('Danh gia LN'!F40="","",ROUNDUP('Danh gia LN'!F40*(1+'Danh gia LN'!$D$4),-3))</f>
        <v/>
      </c>
      <c r="L29" s="79" t="n"/>
      <c r="M29" s="79" t="n"/>
    </row>
    <row r="30">
      <c r="A30" s="17">
        <f>A29+1</f>
        <v/>
      </c>
      <c r="B30" s="11" t="inlineStr">
        <is>
          <t>Đèn chiếu sáng sự cố</t>
        </is>
      </c>
      <c r="C30" s="17" t="inlineStr">
        <is>
          <t>cái</t>
        </is>
      </c>
      <c r="D30" s="17" t="n">
        <v>1</v>
      </c>
      <c r="E30" s="18" t="n">
        <v>200000</v>
      </c>
      <c r="F30" s="19">
        <f>D30*E30</f>
        <v/>
      </c>
      <c r="G30" s="45" t="n">
        <v>0.08</v>
      </c>
      <c r="H30" s="51">
        <f>F30*G30</f>
        <v/>
      </c>
      <c r="I30" s="40" t="inlineStr">
        <is>
          <t>TQ</t>
        </is>
      </c>
      <c r="J30" s="83">
        <f>IF('Danh gia LN'!E41="","",ROUNDUP('Danh gia LN'!E41*(1+'Danh gia LN'!$D$4),-3))</f>
        <v/>
      </c>
      <c r="K30" s="83">
        <f>IF('Danh gia LN'!F41="","",ROUNDUP('Danh gia LN'!F41*(1+'Danh gia LN'!$D$4),-3))</f>
        <v/>
      </c>
      <c r="L30" s="79" t="n"/>
      <c r="M30" s="79" t="n"/>
    </row>
    <row r="31">
      <c r="A31" s="17">
        <f>A30+1</f>
        <v/>
      </c>
      <c r="B31" s="11" t="inlineStr">
        <is>
          <t>Đèn báo trạm bơm</t>
        </is>
      </c>
      <c r="C31" s="17" t="inlineStr">
        <is>
          <t>cái</t>
        </is>
      </c>
      <c r="D31" s="17" t="n">
        <v>3</v>
      </c>
      <c r="E31" s="18" t="n">
        <v>350000</v>
      </c>
      <c r="F31" s="19">
        <f>D31*E31</f>
        <v/>
      </c>
      <c r="G31" s="45" t="n">
        <v>0.08</v>
      </c>
      <c r="H31" s="51">
        <f>F31*G31</f>
        <v/>
      </c>
      <c r="I31" s="40" t="inlineStr">
        <is>
          <t>VN</t>
        </is>
      </c>
      <c r="J31" s="83">
        <f>IF('Danh gia LN'!E42="","",ROUNDUP('Danh gia LN'!E42*(1+'Danh gia LN'!$D$4),-3))</f>
        <v/>
      </c>
      <c r="K31" s="83">
        <f>IF('Danh gia LN'!F42="","",ROUNDUP('Danh gia LN'!F42*(1+'Danh gia LN'!$D$4),-3))</f>
        <v/>
      </c>
      <c r="L31" s="79" t="n"/>
      <c r="M31" s="79" t="n"/>
    </row>
    <row r="32">
      <c r="A32" s="17">
        <f>A31+1</f>
        <v/>
      </c>
      <c r="B32" s="11" t="inlineStr">
        <is>
          <t>Sơ đồ chỉ dẫn thoát hiểm 400x600</t>
        </is>
      </c>
      <c r="C32" s="17" t="inlineStr">
        <is>
          <t>cái</t>
        </is>
      </c>
      <c r="D32" s="17">
        <f>tb!G10</f>
        <v/>
      </c>
      <c r="E32" s="18" t="n">
        <v>150000</v>
      </c>
      <c r="F32" s="19">
        <f>D32*E32</f>
        <v/>
      </c>
      <c r="G32" s="45" t="n">
        <v>0.08</v>
      </c>
      <c r="H32" s="51">
        <f>F32*G32</f>
        <v/>
      </c>
      <c r="I32" s="40" t="inlineStr">
        <is>
          <t>VN</t>
        </is>
      </c>
      <c r="J32" s="83">
        <f>IF('Danh gia LN'!E43="","",ROUNDUP('Danh gia LN'!E43*(1+'Danh gia LN'!$D$4),-3))</f>
        <v/>
      </c>
      <c r="K32" s="83">
        <f>IF('Danh gia LN'!F43="","",ROUNDUP('Danh gia LN'!F43*(1+'Danh gia LN'!$D$4),-3))</f>
        <v/>
      </c>
      <c r="L32" s="79" t="n"/>
      <c r="M32" s="79" t="n"/>
    </row>
    <row r="33">
      <c r="A33" s="17">
        <f>A32+1</f>
        <v/>
      </c>
      <c r="B33" s="11" t="inlineStr">
        <is>
          <t>Họng tiếp nước ngoài nhà 2 cửa- ngàm nhôm</t>
        </is>
      </c>
      <c r="C33" s="17" t="inlineStr">
        <is>
          <t>cái</t>
        </is>
      </c>
      <c r="D33" s="17" t="n">
        <v>3</v>
      </c>
      <c r="E33" s="18" t="n">
        <v>950000</v>
      </c>
      <c r="F33" s="19">
        <f>D33*E33</f>
        <v/>
      </c>
      <c r="G33" s="45" t="n">
        <v>0.1</v>
      </c>
      <c r="H33" s="51">
        <f>F33*G33</f>
        <v/>
      </c>
      <c r="I33" s="40" t="inlineStr">
        <is>
          <t>VN</t>
        </is>
      </c>
      <c r="J33" s="83">
        <f>IF('Danh gia LN'!E44="","",ROUNDUP('Danh gia LN'!E44*(1+'Danh gia LN'!$D$4),-3))</f>
        <v/>
      </c>
      <c r="K33" s="83">
        <f>IF('Danh gia LN'!F44="","",ROUNDUP('Danh gia LN'!F44*(1+'Danh gia LN'!$D$4),-3))</f>
        <v/>
      </c>
      <c r="L33" s="79" t="n"/>
      <c r="M33" s="79" t="n"/>
    </row>
    <row r="34">
      <c r="A34" s="43" t="n"/>
      <c r="B34" s="33" t="inlineStr">
        <is>
          <t>TỔNG TRƯỚC THUẾ</t>
        </is>
      </c>
      <c r="C34" s="41" t="n"/>
      <c r="D34" s="41" t="n"/>
      <c r="E34" s="42" t="n"/>
      <c r="F34" s="44">
        <f>SUM(F4:F33)</f>
        <v/>
      </c>
      <c r="G34" s="44" t="n"/>
      <c r="H34" s="52">
        <f>SUM(H4:H33)</f>
        <v/>
      </c>
      <c r="I34" s="40" t="n"/>
      <c r="J34" s="81" t="n"/>
      <c r="K34" s="81" t="n"/>
      <c r="L34" s="79" t="n"/>
      <c r="M34" s="79" t="n"/>
    </row>
    <row r="35">
      <c r="A35" s="43" t="n"/>
      <c r="B35" s="33" t="inlineStr">
        <is>
          <t>TỔNG SAU THUẾ</t>
        </is>
      </c>
      <c r="C35" s="41" t="n"/>
      <c r="D35" s="41" t="n"/>
      <c r="E35" s="42" t="n"/>
      <c r="F35" s="53">
        <f>F34+H34</f>
        <v/>
      </c>
      <c r="G35" s="47" t="n"/>
      <c r="H35" s="50" t="n"/>
      <c r="I35" s="40" t="n"/>
      <c r="J35" s="81" t="n"/>
      <c r="K35" s="81" t="n"/>
      <c r="L35" s="79" t="n"/>
      <c r="M35" s="79"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P50"/>
  <sheetViews>
    <sheetView zoomScale="85" workbookViewId="0">
      <pane xSplit="2" ySplit="15" topLeftCell="C16"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8" customWidth="1" min="3" max="3"/>
    <col width="9" customWidth="1" min="4" max="4"/>
    <col width="14" customWidth="1" min="5" max="5"/>
    <col width="13" customWidth="1" min="6" max="6"/>
    <col width="14" customWidth="1" min="7" max="7"/>
    <col width="13" customWidth="1" min="8" max="8"/>
    <col width="16" customWidth="1" min="9" max="9"/>
    <col width="17" customWidth="1" min="10" max="10"/>
    <col width="16" customWidth="1" min="11" max="11"/>
    <col width="10" customWidth="1" min="12" max="12"/>
    <col width="9" customWidth="1" min="13" max="13"/>
    <col width="14" customWidth="1" min="14" max="14"/>
    <col width="46" customWidth="1" min="15" max="15"/>
    <col width="34" customWidth="1" min="16" max="16"/>
  </cols>
  <sheetData>
    <row r="1">
      <c r="A1" s="84" t="inlineStr">
        <is>
          <t>ĐÁNH GIÁ LỢI NHUẬN THEO GIÁ ĐỀ XUẤT – MẦM NON (3 TRƯỜNG)</t>
        </is>
      </c>
    </row>
    <row r="2">
      <c r="A2" s="85" t="inlineStr">
        <is>
          <t>Giá vốn lấy theo sheet 'Gia von chi tiet' (file Danh gia toan goi PCCC Dong Son). Giá đề xuất = giá vốn × (1 + tỷ lệ lợi nhuận), làm tròn lên hàng nghìn. Đơn giá trước thuế.</t>
        </is>
      </c>
    </row>
    <row r="4">
      <c r="B4" s="86" t="inlineStr">
        <is>
          <t>Tỷ lệ lợi nhuận mong muốn trên giá vốn (sửa ô này)</t>
        </is>
      </c>
      <c r="C4" s="87" t="n"/>
      <c r="D4" s="88" t="n">
        <v>0.4</v>
      </c>
    </row>
    <row r="6">
      <c r="B6" s="89" t="inlineStr">
        <is>
          <t>TỔNG HỢP</t>
        </is>
      </c>
    </row>
    <row r="7" ht="32" customHeight="1">
      <c r="B7" s="90" t="inlineStr">
        <is>
          <t>Khoản</t>
        </is>
      </c>
      <c r="C7" s="91" t="n"/>
      <c r="D7" s="87" t="n"/>
      <c r="E7" s="90" t="inlineStr">
        <is>
          <t>Giá vốn</t>
        </is>
      </c>
      <c r="F7" s="87" t="n"/>
      <c r="G7" s="90" t="inlineStr">
        <is>
          <t>Giá đề xuất (trước thuế)</t>
        </is>
      </c>
      <c r="H7" s="87" t="n"/>
      <c r="I7" s="90" t="inlineStr">
        <is>
          <t>Lợi nhuận</t>
        </is>
      </c>
      <c r="J7" s="90" t="inlineStr">
        <is>
          <t>% LN / giá vốn</t>
        </is>
      </c>
      <c r="K7" s="90" t="inlineStr">
        <is>
          <t>% LN / giá bán</t>
        </is>
      </c>
    </row>
    <row r="8">
      <c r="B8" s="92" t="inlineStr">
        <is>
          <t>Vật tư, thiết bị</t>
        </is>
      </c>
      <c r="C8" s="93" t="n"/>
      <c r="D8" s="93" t="n"/>
      <c r="E8" s="93">
        <f>SUMPRODUCT(--(E16:E44&lt;&gt;""),D16:D44,N(+E16:E44))</f>
        <v/>
      </c>
      <c r="F8" s="93" t="n"/>
      <c r="G8" s="93">
        <f>SUMPRODUCT(--(G16:G44&lt;&gt;""),D16:D44,N(+G16:G44))</f>
        <v/>
      </c>
      <c r="H8" s="93" t="n"/>
      <c r="I8" s="93">
        <f>G8-E8</f>
        <v/>
      </c>
      <c r="J8" s="94">
        <f>IF(E8=0,"",I8/E8)</f>
        <v/>
      </c>
      <c r="K8" s="94">
        <f>IF(G8=0,"",I8/G8)</f>
        <v/>
      </c>
    </row>
    <row r="9">
      <c r="B9" s="92" t="inlineStr">
        <is>
          <t>Nhân công</t>
        </is>
      </c>
      <c r="C9" s="93" t="n"/>
      <c r="D9" s="93" t="n"/>
      <c r="E9" s="93">
        <f>SUMPRODUCT(--(F16:F44&lt;&gt;""),D16:D44,N(+F16:F44))</f>
        <v/>
      </c>
      <c r="F9" s="93" t="n"/>
      <c r="G9" s="93">
        <f>SUMPRODUCT(--(H16:H44&lt;&gt;""),D16:D44,N(+H16:H44))</f>
        <v/>
      </c>
      <c r="H9" s="93" t="n"/>
      <c r="I9" s="93">
        <f>G9-E9</f>
        <v/>
      </c>
      <c r="J9" s="94">
        <f>IF(E9=0,"",I9/E9)</f>
        <v/>
      </c>
      <c r="K9" s="94">
        <f>IF(G9=0,"",I9/G9)</f>
        <v/>
      </c>
    </row>
    <row r="10">
      <c r="B10" s="95" t="inlineStr">
        <is>
          <t>Cộng trước thuế</t>
        </is>
      </c>
      <c r="C10" s="96" t="n"/>
      <c r="D10" s="96" t="n"/>
      <c r="E10" s="96">
        <f>E8+E9</f>
        <v/>
      </c>
      <c r="F10" s="96" t="n"/>
      <c r="G10" s="96">
        <f>G8+G9</f>
        <v/>
      </c>
      <c r="H10" s="96" t="n"/>
      <c r="I10" s="96">
        <f>G10-E10</f>
        <v/>
      </c>
      <c r="J10" s="97">
        <f>IF(E10=0,"",I10/E10)</f>
        <v/>
      </c>
      <c r="K10" s="97">
        <f>IF(G10=0,"",I10/G10)</f>
        <v/>
      </c>
    </row>
    <row r="11">
      <c r="B11" s="92" t="inlineStr">
        <is>
          <t>Thuế GTGT trên giá đề xuất (theo thuế suất từng dòng)</t>
        </is>
      </c>
      <c r="C11" s="93" t="n"/>
      <c r="D11" s="93" t="n"/>
      <c r="E11" s="93" t="n"/>
      <c r="F11" s="93" t="n"/>
      <c r="G11" s="93">
        <f>SUMPRODUCT(J16:J44,N(+M16:M44))</f>
        <v/>
      </c>
      <c r="H11" s="93" t="n"/>
      <c r="I11" s="93" t="n"/>
      <c r="J11" s="94" t="n"/>
      <c r="K11" s="94" t="n"/>
    </row>
    <row r="12">
      <c r="B12" s="95" t="inlineStr">
        <is>
          <t>Giá trị đề xuất sau thuế</t>
        </is>
      </c>
      <c r="C12" s="96" t="n"/>
      <c r="D12" s="96" t="n"/>
      <c r="E12" s="96" t="n"/>
      <c r="F12" s="96" t="n"/>
      <c r="G12" s="96">
        <f>G10+G11</f>
        <v/>
      </c>
      <c r="H12" s="96" t="n"/>
      <c r="I12" s="96" t="n"/>
      <c r="J12" s="97" t="n"/>
      <c r="K12" s="97" t="n"/>
    </row>
    <row r="13">
      <c r="B13" s="98" t="inlineStr">
        <is>
          <t>Kiểm tra: tổng cộng ở bảng chi tiết (dòng 45) phải bằng dòng 'Cộng trước thuế'. % LN / giá bán = lợi nhuận ÷ giá đề xuất (40% trên giá vốn ≈ 28,6% trên giá bán).</t>
        </is>
      </c>
    </row>
    <row r="15" ht="48" customHeight="1">
      <c r="A15" s="90" t="inlineStr">
        <is>
          <t>STT</t>
        </is>
      </c>
      <c r="B15" s="90" t="inlineStr">
        <is>
          <t>Hạng mục</t>
        </is>
      </c>
      <c r="C15" s="90" t="inlineStr">
        <is>
          <t>ĐVT</t>
        </is>
      </c>
      <c r="D15" s="90" t="inlineStr">
        <is>
          <t>Khối lượng</t>
        </is>
      </c>
      <c r="E15" s="90" t="inlineStr">
        <is>
          <t>Giá vốn vật tư</t>
        </is>
      </c>
      <c r="F15" s="90" t="inlineStr">
        <is>
          <t>Giá vốn nhân công</t>
        </is>
      </c>
      <c r="G15" s="90" t="inlineStr">
        <is>
          <t>Giá vật tư đề xuất</t>
        </is>
      </c>
      <c r="H15" s="90" t="inlineStr">
        <is>
          <t>Giá nhân công đề xuất</t>
        </is>
      </c>
      <c r="I15" s="90" t="inlineStr">
        <is>
          <t>Thành tiền giá vốn</t>
        </is>
      </c>
      <c r="J15" s="90" t="inlineStr">
        <is>
          <t>Thành tiền đề xuất</t>
        </is>
      </c>
      <c r="K15" s="90" t="inlineStr">
        <is>
          <t>Lợi nhuận</t>
        </is>
      </c>
      <c r="L15" s="90" t="inlineStr">
        <is>
          <t>% LN / giá vốn</t>
        </is>
      </c>
      <c r="M15" s="90" t="inlineStr">
        <is>
          <t>Thuế suất</t>
        </is>
      </c>
      <c r="N15" s="90" t="inlineStr">
        <is>
          <t>Đơn giá VT hiện tại (cột E báo giá)</t>
        </is>
      </c>
      <c r="O15" s="90" t="inlineStr">
        <is>
          <t>Nguồn giá vốn</t>
        </is>
      </c>
      <c r="P15" s="90" t="inlineStr">
        <is>
          <t>Ghi chú</t>
        </is>
      </c>
    </row>
    <row r="16">
      <c r="A16" s="99" t="n">
        <v>1</v>
      </c>
      <c r="B16" s="100" t="inlineStr">
        <is>
          <t>Trung tâm báo cháy 8 kênh bao gồm Acquy</t>
        </is>
      </c>
      <c r="C16" s="99" t="inlineStr">
        <is>
          <t>cái</t>
        </is>
      </c>
      <c r="D16" s="101">
        <f>'Bao gia'!D4</f>
        <v/>
      </c>
      <c r="E16" s="93" t="n">
        <v>7500000</v>
      </c>
      <c r="F16" s="93" t="n">
        <v>1000000</v>
      </c>
      <c r="G16" s="102">
        <f>IF(E16="","",'Bao gia'!J4)</f>
        <v/>
      </c>
      <c r="H16" s="102">
        <f>IF(F16="","",'Bao gia'!K4)</f>
        <v/>
      </c>
      <c r="I16" s="93">
        <f>IF(E16="",0,D16*(E16+F16))</f>
        <v/>
      </c>
      <c r="J16" s="93">
        <f>IF(E16="",0,D16*(G16+H16))</f>
        <v/>
      </c>
      <c r="K16" s="93">
        <f>J16-I16</f>
        <v/>
      </c>
      <c r="L16" s="94">
        <f>IF(I16=0,"",K16/I16)</f>
        <v/>
      </c>
      <c r="M16" s="103">
        <f>'Bao gia'!G4</f>
        <v/>
      </c>
      <c r="N16" s="93">
        <f>'Bao gia'!E4</f>
        <v/>
      </c>
      <c r="O16" s="100" t="inlineStr">
        <is>
          <t>Gia von chi tiet</t>
        </is>
      </c>
      <c r="P16" s="100" t="n"/>
    </row>
    <row r="17">
      <c r="A17" s="99" t="n">
        <v>2</v>
      </c>
      <c r="B17" s="100" t="inlineStr">
        <is>
          <t>Trung tâm báo cháy 5 kênh bao gồm Acquy</t>
        </is>
      </c>
      <c r="C17" s="99" t="inlineStr">
        <is>
          <t>cái</t>
        </is>
      </c>
      <c r="D17" s="101">
        <f>'Bao gia'!D5</f>
        <v/>
      </c>
      <c r="E17" s="93" t="n">
        <v>6150000</v>
      </c>
      <c r="F17" s="93" t="n">
        <v>1000000</v>
      </c>
      <c r="G17" s="102">
        <f>IF(E17="","",'Bao gia'!J5)</f>
        <v/>
      </c>
      <c r="H17" s="102">
        <f>IF(F17="","",'Bao gia'!K5)</f>
        <v/>
      </c>
      <c r="I17" s="93">
        <f>IF(E17="",0,D17*(E17+F17))</f>
        <v/>
      </c>
      <c r="J17" s="93">
        <f>IF(E17="",0,D17*(G17+H17))</f>
        <v/>
      </c>
      <c r="K17" s="93">
        <f>J17-I17</f>
        <v/>
      </c>
      <c r="L17" s="94">
        <f>IF(I17=0,"",K17/I17)</f>
        <v/>
      </c>
      <c r="M17" s="103">
        <f>'Bao gia'!G5</f>
        <v/>
      </c>
      <c r="N17" s="93">
        <f>'Bao gia'!E5</f>
        <v/>
      </c>
      <c r="O17" s="100" t="inlineStr">
        <is>
          <t>Gia von chi tiet</t>
        </is>
      </c>
      <c r="P17" s="100" t="n"/>
    </row>
    <row r="18">
      <c r="A18" s="99" t="n">
        <v>3</v>
      </c>
      <c r="B18" s="100" t="inlineStr">
        <is>
          <t>Còi đèn báo cháy kết hợp</t>
        </is>
      </c>
      <c r="C18" s="99" t="inlineStr">
        <is>
          <t>cái</t>
        </is>
      </c>
      <c r="D18" s="101">
        <f>'Bao gia'!D6</f>
        <v/>
      </c>
      <c r="E18" s="93" t="n">
        <v>252000</v>
      </c>
      <c r="F18" s="93" t="n">
        <v>100000</v>
      </c>
      <c r="G18" s="102">
        <f>IF(E18="","",'Bao gia'!J6)</f>
        <v/>
      </c>
      <c r="H18" s="102">
        <f>IF(F18="","",'Bao gia'!K6)</f>
        <v/>
      </c>
      <c r="I18" s="93">
        <f>IF(E18="",0,D18*(E18+F18))</f>
        <v/>
      </c>
      <c r="J18" s="93">
        <f>IF(E18="",0,D18*(G18+H18))</f>
        <v/>
      </c>
      <c r="K18" s="93">
        <f>J18-I18</f>
        <v/>
      </c>
      <c r="L18" s="94">
        <f>IF(I18=0,"",K18/I18)</f>
        <v/>
      </c>
      <c r="M18" s="103">
        <f>'Bao gia'!G6</f>
        <v/>
      </c>
      <c r="N18" s="93">
        <f>'Bao gia'!E6</f>
        <v/>
      </c>
      <c r="O18" s="100" t="inlineStr">
        <is>
          <t>Gia von chi tiet</t>
        </is>
      </c>
      <c r="P18" s="100" t="n"/>
    </row>
    <row r="19">
      <c r="A19" s="99" t="n">
        <v>4</v>
      </c>
      <c r="B19" s="100" t="inlineStr">
        <is>
          <t>Nút ấn khẩn tròn lắp nổi</t>
        </is>
      </c>
      <c r="C19" s="99" t="inlineStr">
        <is>
          <t>cái</t>
        </is>
      </c>
      <c r="D19" s="101">
        <f>'Bao gia'!D7</f>
        <v/>
      </c>
      <c r="E19" s="93" t="n">
        <v>205000</v>
      </c>
      <c r="F19" s="93" t="n">
        <v>100000</v>
      </c>
      <c r="G19" s="102">
        <f>IF(E19="","",'Bao gia'!J7)</f>
        <v/>
      </c>
      <c r="H19" s="102">
        <f>IF(F19="","",'Bao gia'!K7)</f>
        <v/>
      </c>
      <c r="I19" s="93">
        <f>IF(E19="",0,D19*(E19+F19))</f>
        <v/>
      </c>
      <c r="J19" s="93">
        <f>IF(E19="",0,D19*(G19+H19))</f>
        <v/>
      </c>
      <c r="K19" s="93">
        <f>J19-I19</f>
        <v/>
      </c>
      <c r="L19" s="94">
        <f>IF(I19=0,"",K19/I19)</f>
        <v/>
      </c>
      <c r="M19" s="103">
        <f>'Bao gia'!G7</f>
        <v/>
      </c>
      <c r="N19" s="93">
        <f>'Bao gia'!E7</f>
        <v/>
      </c>
      <c r="O19" s="100" t="inlineStr">
        <is>
          <t>Gia von chi tiet</t>
        </is>
      </c>
      <c r="P19" s="100" t="n"/>
    </row>
    <row r="20">
      <c r="A20" s="99" t="n">
        <v>5</v>
      </c>
      <c r="B20" s="100" t="inlineStr">
        <is>
          <t>Đầu báo khói quang 24VDC</t>
        </is>
      </c>
      <c r="C20" s="99" t="inlineStr">
        <is>
          <t>cái</t>
        </is>
      </c>
      <c r="D20" s="101">
        <f>'Bao gia'!D8</f>
        <v/>
      </c>
      <c r="E20" s="93" t="n">
        <v>242000</v>
      </c>
      <c r="F20" s="93" t="n">
        <v>100000</v>
      </c>
      <c r="G20" s="102">
        <f>IF(E20="","",'Bao gia'!J8)</f>
        <v/>
      </c>
      <c r="H20" s="102">
        <f>IF(F20="","",'Bao gia'!K8)</f>
        <v/>
      </c>
      <c r="I20" s="93">
        <f>IF(E20="",0,D20*(E20+F20))</f>
        <v/>
      </c>
      <c r="J20" s="93">
        <f>IF(E20="",0,D20*(G20+H20))</f>
        <v/>
      </c>
      <c r="K20" s="93">
        <f>J20-I20</f>
        <v/>
      </c>
      <c r="L20" s="94">
        <f>IF(I20=0,"",K20/I20)</f>
        <v/>
      </c>
      <c r="M20" s="103">
        <f>'Bao gia'!G8</f>
        <v/>
      </c>
      <c r="N20" s="93">
        <f>'Bao gia'!E8</f>
        <v/>
      </c>
      <c r="O20" s="100" t="inlineStr">
        <is>
          <t>Gia von chi tiet</t>
        </is>
      </c>
      <c r="P20" s="100" t="n"/>
    </row>
    <row r="21">
      <c r="A21" s="99" t="n">
        <v>6</v>
      </c>
      <c r="B21" s="100" t="inlineStr">
        <is>
          <t>Đèn báo phòng</t>
        </is>
      </c>
      <c r="C21" s="99" t="inlineStr">
        <is>
          <t>cái</t>
        </is>
      </c>
      <c r="D21" s="101">
        <f>'Bao gia'!D9</f>
        <v/>
      </c>
      <c r="E21" s="93" t="n">
        <v>116000</v>
      </c>
      <c r="F21" s="93" t="n">
        <v>100000</v>
      </c>
      <c r="G21" s="102">
        <f>IF(E21="","",'Bao gia'!J9)</f>
        <v/>
      </c>
      <c r="H21" s="102">
        <f>IF(F21="","",'Bao gia'!K9)</f>
        <v/>
      </c>
      <c r="I21" s="93">
        <f>IF(E21="",0,D21*(E21+F21))</f>
        <v/>
      </c>
      <c r="J21" s="93">
        <f>IF(E21="",0,D21*(G21+H21))</f>
        <v/>
      </c>
      <c r="K21" s="93">
        <f>J21-I21</f>
        <v/>
      </c>
      <c r="L21" s="94">
        <f>IF(I21=0,"",K21/I21)</f>
        <v/>
      </c>
      <c r="M21" s="103">
        <f>'Bao gia'!G9</f>
        <v/>
      </c>
      <c r="N21" s="93">
        <f>'Bao gia'!E9</f>
        <v/>
      </c>
      <c r="O21" s="100" t="inlineStr">
        <is>
          <t>Gia von chi tiet</t>
        </is>
      </c>
      <c r="P21" s="100" t="n"/>
    </row>
    <row r="22">
      <c r="A22" s="99" t="n">
        <v>7</v>
      </c>
      <c r="B22" s="100" t="inlineStr">
        <is>
          <t>Đầu báo nhiệt cố định 70 độ C</t>
        </is>
      </c>
      <c r="C22" s="99" t="inlineStr">
        <is>
          <t>cái</t>
        </is>
      </c>
      <c r="D22" s="101">
        <f>'Bao gia'!D10</f>
        <v/>
      </c>
      <c r="E22" s="93" t="n">
        <v>158000</v>
      </c>
      <c r="F22" s="93" t="n">
        <v>100000</v>
      </c>
      <c r="G22" s="102">
        <f>IF(E22="","",'Bao gia'!J10)</f>
        <v/>
      </c>
      <c r="H22" s="102">
        <f>IF(F22="","",'Bao gia'!K10)</f>
        <v/>
      </c>
      <c r="I22" s="93">
        <f>IF(E22="",0,D22*(E22+F22))</f>
        <v/>
      </c>
      <c r="J22" s="93">
        <f>IF(E22="",0,D22*(G22+H22))</f>
        <v/>
      </c>
      <c r="K22" s="93">
        <f>J22-I22</f>
        <v/>
      </c>
      <c r="L22" s="94">
        <f>IF(I22=0,"",K22/I22)</f>
        <v/>
      </c>
      <c r="M22" s="103">
        <f>'Bao gia'!G10</f>
        <v/>
      </c>
      <c r="N22" s="93">
        <f>'Bao gia'!E10</f>
        <v/>
      </c>
      <c r="O22" s="100" t="inlineStr">
        <is>
          <t>Gia von chi tiet</t>
        </is>
      </c>
      <c r="P22" s="100" t="inlineStr">
        <is>
          <t>Thiếu báo giá</t>
        </is>
      </c>
    </row>
    <row r="23">
      <c r="A23" s="99" t="n">
        <v>8</v>
      </c>
      <c r="B23" s="100" t="inlineStr">
        <is>
          <t>Cọc tiếp địa mạ đồng D16 L=2,4m</t>
        </is>
      </c>
      <c r="C23" s="99" t="inlineStr">
        <is>
          <t>cái</t>
        </is>
      </c>
      <c r="D23" s="101">
        <f>'Bao gia'!D11</f>
        <v/>
      </c>
      <c r="E23" s="93" t="n">
        <v>252000</v>
      </c>
      <c r="F23" s="93" t="n">
        <v>20000</v>
      </c>
      <c r="G23" s="102">
        <f>IF(E23="","",'Bao gia'!J11)</f>
        <v/>
      </c>
      <c r="H23" s="102">
        <f>IF(F23="","",'Bao gia'!K11)</f>
        <v/>
      </c>
      <c r="I23" s="93">
        <f>IF(E23="",0,D23*(E23+F23))</f>
        <v/>
      </c>
      <c r="J23" s="93">
        <f>IF(E23="",0,D23*(G23+H23))</f>
        <v/>
      </c>
      <c r="K23" s="93">
        <f>J23-I23</f>
        <v/>
      </c>
      <c r="L23" s="94">
        <f>IF(I23=0,"",K23/I23)</f>
        <v/>
      </c>
      <c r="M23" s="103">
        <f>'Bao gia'!G11</f>
        <v/>
      </c>
      <c r="N23" s="93">
        <f>'Bao gia'!E11</f>
        <v/>
      </c>
      <c r="O23" s="100" t="inlineStr">
        <is>
          <t>Gia von chi tiet: 'Hệ thống tiếp địa trung tâm báo cháy'</t>
        </is>
      </c>
      <c r="P23" s="100" t="n"/>
    </row>
    <row r="24">
      <c r="A24" s="99" t="n">
        <v>9</v>
      </c>
      <c r="B24" s="100" t="inlineStr">
        <is>
          <t>Co thép đen hàn DN65</t>
        </is>
      </c>
      <c r="C24" s="99" t="inlineStr">
        <is>
          <t>cái</t>
        </is>
      </c>
      <c r="D24" s="101">
        <f>'Bao gia'!D12</f>
        <v/>
      </c>
      <c r="E24" s="93" t="n">
        <v>53000</v>
      </c>
      <c r="F24" s="93" t="n">
        <v>25000</v>
      </c>
      <c r="G24" s="102">
        <f>IF(E24="","",'Bao gia'!J12)</f>
        <v/>
      </c>
      <c r="H24" s="102">
        <f>IF(F24="","",'Bao gia'!K12)</f>
        <v/>
      </c>
      <c r="I24" s="93">
        <f>IF(E24="",0,D24*(E24+F24))</f>
        <v/>
      </c>
      <c r="J24" s="93">
        <f>IF(E24="",0,D24*(G24+H24))</f>
        <v/>
      </c>
      <c r="K24" s="93">
        <f>J24-I24</f>
        <v/>
      </c>
      <c r="L24" s="94">
        <f>IF(I24=0,"",K24/I24)</f>
        <v/>
      </c>
      <c r="M24" s="103">
        <f>'Bao gia'!G12</f>
        <v/>
      </c>
      <c r="N24" s="93">
        <f>'Bao gia'!E12</f>
        <v/>
      </c>
      <c r="O24" s="100" t="inlineStr">
        <is>
          <t>Gia von chi tiet</t>
        </is>
      </c>
      <c r="P24" s="100" t="n"/>
    </row>
    <row r="25">
      <c r="A25" s="99" t="n">
        <v>10</v>
      </c>
      <c r="B25" s="100" t="inlineStr">
        <is>
          <t>Co thép đen hàn DN50</t>
        </is>
      </c>
      <c r="C25" s="99" t="inlineStr">
        <is>
          <t>cái</t>
        </is>
      </c>
      <c r="D25" s="101">
        <f>'Bao gia'!D13</f>
        <v/>
      </c>
      <c r="E25" s="93" t="n">
        <v>42000</v>
      </c>
      <c r="F25" s="93" t="n">
        <v>25000</v>
      </c>
      <c r="G25" s="102">
        <f>IF(E25="","",'Bao gia'!J13)</f>
        <v/>
      </c>
      <c r="H25" s="102">
        <f>IF(F25="","",'Bao gia'!K13)</f>
        <v/>
      </c>
      <c r="I25" s="93">
        <f>IF(E25="",0,D25*(E25+F25))</f>
        <v/>
      </c>
      <c r="J25" s="93">
        <f>IF(E25="",0,D25*(G25+H25))</f>
        <v/>
      </c>
      <c r="K25" s="93">
        <f>J25-I25</f>
        <v/>
      </c>
      <c r="L25" s="94">
        <f>IF(I25=0,"",K25/I25)</f>
        <v/>
      </c>
      <c r="M25" s="103">
        <f>'Bao gia'!G13</f>
        <v/>
      </c>
      <c r="N25" s="93">
        <f>'Bao gia'!E13</f>
        <v/>
      </c>
      <c r="O25" s="100" t="inlineStr">
        <is>
          <t>Gia von chi tiet</t>
        </is>
      </c>
      <c r="P25" s="100" t="n"/>
    </row>
    <row r="26">
      <c r="A26" s="99" t="n">
        <v>11</v>
      </c>
      <c r="B26" s="100" t="inlineStr">
        <is>
          <t>Tê thép đen hàn DN65</t>
        </is>
      </c>
      <c r="C26" s="99" t="inlineStr">
        <is>
          <t>cái</t>
        </is>
      </c>
      <c r="D26" s="101">
        <f>'Bao gia'!D14</f>
        <v/>
      </c>
      <c r="E26" s="93" t="n">
        <v>95000</v>
      </c>
      <c r="F26" s="93" t="n">
        <v>25000</v>
      </c>
      <c r="G26" s="102">
        <f>IF(E26="","",'Bao gia'!J14)</f>
        <v/>
      </c>
      <c r="H26" s="102">
        <f>IF(F26="","",'Bao gia'!K14)</f>
        <v/>
      </c>
      <c r="I26" s="93">
        <f>IF(E26="",0,D26*(E26+F26))</f>
        <v/>
      </c>
      <c r="J26" s="93">
        <f>IF(E26="",0,D26*(G26+H26))</f>
        <v/>
      </c>
      <c r="K26" s="93">
        <f>J26-I26</f>
        <v/>
      </c>
      <c r="L26" s="94">
        <f>IF(I26=0,"",K26/I26)</f>
        <v/>
      </c>
      <c r="M26" s="103">
        <f>'Bao gia'!G14</f>
        <v/>
      </c>
      <c r="N26" s="93">
        <f>'Bao gia'!E14</f>
        <v/>
      </c>
      <c r="O26" s="100" t="inlineStr">
        <is>
          <t>Gia von chi tiet</t>
        </is>
      </c>
      <c r="P26" s="100" t="n"/>
    </row>
    <row r="27">
      <c r="A27" s="99" t="n">
        <v>12</v>
      </c>
      <c r="B27" s="100" t="inlineStr">
        <is>
          <t>Tê thép hàn tráng kẽm DN50</t>
        </is>
      </c>
      <c r="C27" s="99" t="inlineStr">
        <is>
          <t>cái</t>
        </is>
      </c>
      <c r="D27" s="101">
        <f>'Bao gia'!D16</f>
        <v/>
      </c>
      <c r="E27" s="93" t="n">
        <v>75000</v>
      </c>
      <c r="F27" s="93" t="n">
        <v>25000</v>
      </c>
      <c r="G27" s="102">
        <f>IF(E27="","",'Bao gia'!J16)</f>
        <v/>
      </c>
      <c r="H27" s="102">
        <f>IF(F27="","",'Bao gia'!K16)</f>
        <v/>
      </c>
      <c r="I27" s="93">
        <f>IF(E27="",0,D27*(E27+F27))</f>
        <v/>
      </c>
      <c r="J27" s="93">
        <f>IF(E27="",0,D27*(G27+H27))</f>
        <v/>
      </c>
      <c r="K27" s="93">
        <f>J27-I27</f>
        <v/>
      </c>
      <c r="L27" s="94">
        <f>IF(I27=0,"",K27/I27)</f>
        <v/>
      </c>
      <c r="M27" s="103">
        <f>'Bao gia'!G16</f>
        <v/>
      </c>
      <c r="N27" s="93">
        <f>'Bao gia'!E16</f>
        <v/>
      </c>
      <c r="O27" s="100" t="inlineStr">
        <is>
          <t>Gia von chi tiet</t>
        </is>
      </c>
      <c r="P27" s="100" t="n"/>
    </row>
    <row r="28">
      <c r="A28" s="99" t="n">
        <v>13</v>
      </c>
      <c r="B28" s="100" t="inlineStr">
        <is>
          <t>Mặt bích thép đen DN65 + bulong + roăng su</t>
        </is>
      </c>
      <c r="C28" s="99" t="inlineStr">
        <is>
          <t>cái</t>
        </is>
      </c>
      <c r="D28" s="101">
        <f>'Bao gia'!D17</f>
        <v/>
      </c>
      <c r="E28" s="93" t="n">
        <v>110000</v>
      </c>
      <c r="F28" s="93" t="n">
        <v>25000</v>
      </c>
      <c r="G28" s="102">
        <f>IF(E28="","",'Bao gia'!J17)</f>
        <v/>
      </c>
      <c r="H28" s="102">
        <f>IF(F28="","",'Bao gia'!K17)</f>
        <v/>
      </c>
      <c r="I28" s="93">
        <f>IF(E28="",0,D28*(E28+F28))</f>
        <v/>
      </c>
      <c r="J28" s="93">
        <f>IF(E28="",0,D28*(G28+H28))</f>
        <v/>
      </c>
      <c r="K28" s="93">
        <f>J28-I28</f>
        <v/>
      </c>
      <c r="L28" s="94">
        <f>IF(I28=0,"",K28/I28)</f>
        <v/>
      </c>
      <c r="M28" s="103">
        <f>'Bao gia'!G17</f>
        <v/>
      </c>
      <c r="N28" s="93">
        <f>'Bao gia'!E17</f>
        <v/>
      </c>
      <c r="O28" s="100" t="inlineStr">
        <is>
          <t>Gia von chi tiet</t>
        </is>
      </c>
      <c r="P28" s="100" t="n"/>
    </row>
    <row r="29">
      <c r="A29" s="99" t="n">
        <v>14</v>
      </c>
      <c r="B29" s="100" t="inlineStr">
        <is>
          <t>Đồng hồ áp xuất kèm xi phông, van khóa và socket</t>
        </is>
      </c>
      <c r="C29" s="99" t="inlineStr">
        <is>
          <t>cái</t>
        </is>
      </c>
      <c r="D29" s="101">
        <f>'Bao gia'!D18</f>
        <v/>
      </c>
      <c r="E29" s="93" t="n">
        <v>300000</v>
      </c>
      <c r="F29" s="93" t="n">
        <v>100000</v>
      </c>
      <c r="G29" s="102">
        <f>IF(E29="","",'Bao gia'!J18)</f>
        <v/>
      </c>
      <c r="H29" s="102">
        <f>IF(F29="","",'Bao gia'!K18)</f>
        <v/>
      </c>
      <c r="I29" s="93">
        <f>IF(E29="",0,D29*(E29+F29))</f>
        <v/>
      </c>
      <c r="J29" s="93">
        <f>IF(E29="",0,D29*(G29+H29))</f>
        <v/>
      </c>
      <c r="K29" s="93">
        <f>J29-I29</f>
        <v/>
      </c>
      <c r="L29" s="94">
        <f>IF(I29=0,"",K29/I29)</f>
        <v/>
      </c>
      <c r="M29" s="103">
        <f>'Bao gia'!G18</f>
        <v/>
      </c>
      <c r="N29" s="93">
        <f>'Bao gia'!E18</f>
        <v/>
      </c>
      <c r="O29" s="100" t="inlineStr">
        <is>
          <t>Gia von chi tiet</t>
        </is>
      </c>
      <c r="P29" s="100" t="n"/>
    </row>
    <row r="30">
      <c r="A30" s="99" t="n">
        <v>15</v>
      </c>
      <c r="B30" s="100" t="inlineStr">
        <is>
          <t>Rơ le kiểm tra mực nước</t>
        </is>
      </c>
      <c r="C30" s="99" t="inlineStr">
        <is>
          <t>cái</t>
        </is>
      </c>
      <c r="D30" s="101">
        <f>'Bao gia'!D19</f>
        <v/>
      </c>
      <c r="E30" s="93" t="n">
        <v>2205000</v>
      </c>
      <c r="F30" s="93" t="n">
        <v>150000</v>
      </c>
      <c r="G30" s="102">
        <f>IF(E30="","",'Bao gia'!J19)</f>
        <v/>
      </c>
      <c r="H30" s="102">
        <f>IF(F30="","",'Bao gia'!K19)</f>
        <v/>
      </c>
      <c r="I30" s="93">
        <f>IF(E30="",0,D30*(E30+F30))</f>
        <v/>
      </c>
      <c r="J30" s="93">
        <f>IF(E30="",0,D30*(G30+H30))</f>
        <v/>
      </c>
      <c r="K30" s="93">
        <f>J30-I30</f>
        <v/>
      </c>
      <c r="L30" s="94">
        <f>IF(I30=0,"",K30/I30)</f>
        <v/>
      </c>
      <c r="M30" s="103">
        <f>'Bao gia'!G19</f>
        <v/>
      </c>
      <c r="N30" s="93">
        <f>'Bao gia'!E19</f>
        <v/>
      </c>
      <c r="O30" s="100" t="inlineStr">
        <is>
          <t>Gia von chi tiet</t>
        </is>
      </c>
      <c r="P30" s="100" t="inlineStr">
        <is>
          <t>Thiếu báo giá</t>
        </is>
      </c>
    </row>
    <row r="31">
      <c r="A31" s="99" t="n">
        <v>16</v>
      </c>
      <c r="B31" s="100" t="inlineStr">
        <is>
          <t>Tủ điều khiển máy bơm</t>
        </is>
      </c>
      <c r="C31" s="99" t="inlineStr">
        <is>
          <t>cái</t>
        </is>
      </c>
      <c r="D31" s="101">
        <f>'Bao gia'!D20</f>
        <v/>
      </c>
      <c r="E31" s="93" t="n">
        <v>5500000</v>
      </c>
      <c r="F31" s="93" t="n">
        <v>500000</v>
      </c>
      <c r="G31" s="102">
        <f>IF(E31="","",'Bao gia'!J20)</f>
        <v/>
      </c>
      <c r="H31" s="102">
        <f>IF(F31="","",'Bao gia'!K20)</f>
        <v/>
      </c>
      <c r="I31" s="93">
        <f>IF(E31="",0,D31*(E31+F31))</f>
        <v/>
      </c>
      <c r="J31" s="93">
        <f>IF(E31="",0,D31*(G31+H31))</f>
        <v/>
      </c>
      <c r="K31" s="93">
        <f>J31-I31</f>
        <v/>
      </c>
      <c r="L31" s="94">
        <f>IF(I31=0,"",K31/I31)</f>
        <v/>
      </c>
      <c r="M31" s="103">
        <f>'Bao gia'!G20</f>
        <v/>
      </c>
      <c r="N31" s="93">
        <f>'Bao gia'!E20</f>
        <v/>
      </c>
      <c r="O31" s="100" t="inlineStr">
        <is>
          <t>Gia von chi tiet</t>
        </is>
      </c>
      <c r="P31" s="100" t="n"/>
    </row>
    <row r="32">
      <c r="A32" s="99" t="n">
        <v>17</v>
      </c>
      <c r="B32" s="100" t="inlineStr">
        <is>
          <t>Máy bơm chữa cháy động cơ điện Q: 45m3/h - H: 40m.c.n</t>
        </is>
      </c>
      <c r="C32" s="99" t="inlineStr">
        <is>
          <t>cái</t>
        </is>
      </c>
      <c r="D32" s="101">
        <f>'Bao gia'!D21</f>
        <v/>
      </c>
      <c r="E32" s="93" t="n">
        <v>15400000</v>
      </c>
      <c r="F32" s="93" t="n">
        <v>3000000</v>
      </c>
      <c r="G32" s="102">
        <f>IF(E32="","",'Bao gia'!J21)</f>
        <v/>
      </c>
      <c r="H32" s="102">
        <f>IF(F32="","",'Bao gia'!K21)</f>
        <v/>
      </c>
      <c r="I32" s="93">
        <f>IF(E32="",0,D32*(E32+F32))</f>
        <v/>
      </c>
      <c r="J32" s="93">
        <f>IF(E32="",0,D32*(G32+H32))</f>
        <v/>
      </c>
      <c r="K32" s="93">
        <f>J32-I32</f>
        <v/>
      </c>
      <c r="L32" s="94">
        <f>IF(I32=0,"",K32/I32)</f>
        <v/>
      </c>
      <c r="M32" s="103">
        <f>'Bao gia'!G21</f>
        <v/>
      </c>
      <c r="N32" s="93">
        <f>'Bao gia'!E21</f>
        <v/>
      </c>
      <c r="O32" s="100" t="inlineStr">
        <is>
          <t>Gia von chi tiet: giá máy (dòng Thiết bị) + NC lắp 3.000.000 (dòng Lắp đặt PCCC)</t>
        </is>
      </c>
      <c r="P32" s="100" t="n"/>
    </row>
    <row r="33">
      <c r="A33" s="99" t="n">
        <v>18</v>
      </c>
      <c r="B33" s="100" t="inlineStr">
        <is>
          <t>Máy bơm chữa cháy động cơ nhiên liệu Q: 45m3/h - H: 40m.c.n</t>
        </is>
      </c>
      <c r="C33" s="99" t="inlineStr">
        <is>
          <t>cái</t>
        </is>
      </c>
      <c r="D33" s="101">
        <f>'Bao gia'!D22</f>
        <v/>
      </c>
      <c r="E33" s="93" t="n">
        <v>27720000</v>
      </c>
      <c r="F33" s="93" t="n">
        <v>3000000</v>
      </c>
      <c r="G33" s="102">
        <f>IF(E33="","",'Bao gia'!J22)</f>
        <v/>
      </c>
      <c r="H33" s="102">
        <f>IF(F33="","",'Bao gia'!K22)</f>
        <v/>
      </c>
      <c r="I33" s="93">
        <f>IF(E33="",0,D33*(E33+F33))</f>
        <v/>
      </c>
      <c r="J33" s="93">
        <f>IF(E33="",0,D33*(G33+H33))</f>
        <v/>
      </c>
      <c r="K33" s="93">
        <f>J33-I33</f>
        <v/>
      </c>
      <c r="L33" s="94">
        <f>IF(I33=0,"",K33/I33)</f>
        <v/>
      </c>
      <c r="M33" s="103">
        <f>'Bao gia'!G22</f>
        <v/>
      </c>
      <c r="N33" s="93">
        <f>'Bao gia'!E22</f>
        <v/>
      </c>
      <c r="O33" s="100" t="inlineStr">
        <is>
          <t>Gia von chi tiet: giá máy (dòng Thiết bị) + NC lắp 3.000.000 (dòng Lắp đặt PCCC)</t>
        </is>
      </c>
      <c r="P33" s="100" t="n"/>
    </row>
    <row r="34">
      <c r="A34" s="99" t="n">
        <v>19</v>
      </c>
      <c r="B34" s="100" t="inlineStr">
        <is>
          <t>Tủ chữa cháy KT: 400x600x200mm, tole dày 0,8mm, sơn tĩnh điện màu đỏ</t>
        </is>
      </c>
      <c r="C34" s="99" t="inlineStr">
        <is>
          <t>cái</t>
        </is>
      </c>
      <c r="D34" s="101">
        <f>'Bao gia'!D23</f>
        <v/>
      </c>
      <c r="E34" s="93" t="n">
        <v>368000</v>
      </c>
      <c r="F34" s="93" t="n">
        <v>400000</v>
      </c>
      <c r="G34" s="102">
        <f>IF(E34="","",'Bao gia'!J23)</f>
        <v/>
      </c>
      <c r="H34" s="102">
        <f>IF(F34="","",'Bao gia'!K23)</f>
        <v/>
      </c>
      <c r="I34" s="93">
        <f>IF(E34="",0,D34*(E34+F34))</f>
        <v/>
      </c>
      <c r="J34" s="93">
        <f>IF(E34="",0,D34*(G34+H34))</f>
        <v/>
      </c>
      <c r="K34" s="93">
        <f>J34-I34</f>
        <v/>
      </c>
      <c r="L34" s="94">
        <f>IF(I34=0,"",K34/I34)</f>
        <v/>
      </c>
      <c r="M34" s="103">
        <f>'Bao gia'!G23</f>
        <v/>
      </c>
      <c r="N34" s="93">
        <f>'Bao gia'!E23</f>
        <v/>
      </c>
      <c r="O34" s="100" t="inlineStr">
        <is>
          <t>Gia von chi tiet</t>
        </is>
      </c>
      <c r="P34" s="100" t="n"/>
    </row>
    <row r="35">
      <c r="A35" s="99" t="n">
        <v>20</v>
      </c>
      <c r="B35" s="100" t="inlineStr">
        <is>
          <t>Cuộn vòi chữa cháy Ø50 - L = 20m + lăng phun</t>
        </is>
      </c>
      <c r="C35" s="99" t="inlineStr">
        <is>
          <t>cái</t>
        </is>
      </c>
      <c r="D35" s="101">
        <f>'Bao gia'!D24</f>
        <v/>
      </c>
      <c r="E35" s="93" t="n">
        <v>514286</v>
      </c>
      <c r="F35" s="93" t="n">
        <v>58022</v>
      </c>
      <c r="G35" s="102">
        <f>IF(E35="","",'Bao gia'!J24)</f>
        <v/>
      </c>
      <c r="H35" s="102">
        <f>IF(F35="","",'Bao gia'!K24)</f>
        <v/>
      </c>
      <c r="I35" s="93">
        <f>IF(E35="",0,D35*(E35+F35))</f>
        <v/>
      </c>
      <c r="J35" s="93">
        <f>IF(E35="",0,D35*(G35+H35))</f>
        <v/>
      </c>
      <c r="K35" s="93">
        <f>J35-I35</f>
        <v/>
      </c>
      <c r="L35" s="94">
        <f>IF(I35=0,"",K35/I35)</f>
        <v/>
      </c>
      <c r="M35" s="103">
        <f>'Bao gia'!G24</f>
        <v/>
      </c>
      <c r="N35" s="93">
        <f>'Bao gia'!E24</f>
        <v/>
      </c>
      <c r="O35" s="100" t="inlineStr">
        <is>
          <t>Gia von chi tiet: 'Cuộn vòi + lăng phun' 600.000 / 67.692 – tách phần vòi</t>
        </is>
      </c>
      <c r="P35" s="100" t="n"/>
    </row>
    <row r="36">
      <c r="A36" s="99" t="n">
        <v>21</v>
      </c>
      <c r="B36" s="100" t="inlineStr">
        <is>
          <t>Lăng phun DN50</t>
        </is>
      </c>
      <c r="C36" s="99" t="inlineStr">
        <is>
          <t>cái</t>
        </is>
      </c>
      <c r="D36" s="101">
        <f>'Bao gia'!D25</f>
        <v/>
      </c>
      <c r="E36" s="93" t="n">
        <v>85714</v>
      </c>
      <c r="F36" s="93" t="n">
        <v>9670</v>
      </c>
      <c r="G36" s="102">
        <f>IF(E36="","",'Bao gia'!J25)</f>
        <v/>
      </c>
      <c r="H36" s="102">
        <f>IF(F36="","",'Bao gia'!K25)</f>
        <v/>
      </c>
      <c r="I36" s="93">
        <f>IF(E36="",0,D36*(E36+F36))</f>
        <v/>
      </c>
      <c r="J36" s="93">
        <f>IF(E36="",0,D36*(G36+H36))</f>
        <v/>
      </c>
      <c r="K36" s="93">
        <f>J36-I36</f>
        <v/>
      </c>
      <c r="L36" s="94">
        <f>IF(I36=0,"",K36/I36)</f>
        <v/>
      </c>
      <c r="M36" s="103">
        <f>'Bao gia'!G25</f>
        <v/>
      </c>
      <c r="N36" s="93">
        <f>'Bao gia'!E25</f>
        <v/>
      </c>
      <c r="O36" s="100" t="inlineStr">
        <is>
          <t>Gia von chi tiet: 'Cuộn vòi + lăng phun' 600.000 / 67.692 – tách phần lăng</t>
        </is>
      </c>
      <c r="P36" s="100" t="n"/>
    </row>
    <row r="37">
      <c r="A37" s="99" t="n">
        <v>22</v>
      </c>
      <c r="B37" s="100" t="inlineStr">
        <is>
          <t>Van góc FUJI DN50</t>
        </is>
      </c>
      <c r="C37" s="99" t="inlineStr">
        <is>
          <t>cái</t>
        </is>
      </c>
      <c r="D37" s="101">
        <f>'Bao gia'!D26</f>
        <v/>
      </c>
      <c r="E37" s="93" t="n">
        <v>166000</v>
      </c>
      <c r="F37" s="93" t="n">
        <v>100000</v>
      </c>
      <c r="G37" s="102">
        <f>IF(E37="","",'Bao gia'!J26)</f>
        <v/>
      </c>
      <c r="H37" s="102">
        <f>IF(F37="","",'Bao gia'!K26)</f>
        <v/>
      </c>
      <c r="I37" s="93">
        <f>IF(E37="",0,D37*(E37+F37))</f>
        <v/>
      </c>
      <c r="J37" s="93">
        <f>IF(E37="",0,D37*(G37+H37))</f>
        <v/>
      </c>
      <c r="K37" s="93">
        <f>J37-I37</f>
        <v/>
      </c>
      <c r="L37" s="94">
        <f>IF(I37=0,"",K37/I37)</f>
        <v/>
      </c>
      <c r="M37" s="103">
        <f>'Bao gia'!G26</f>
        <v/>
      </c>
      <c r="N37" s="93">
        <f>'Bao gia'!E26</f>
        <v/>
      </c>
      <c r="O37" s="100" t="inlineStr">
        <is>
          <t>Gia von chi tiet</t>
        </is>
      </c>
      <c r="P37" s="100" t="n"/>
    </row>
    <row r="38">
      <c r="A38" s="99" t="n">
        <v>23</v>
      </c>
      <c r="B38" s="100" t="inlineStr">
        <is>
          <t>Bộ nội quy tiêu lệnh chữa cháy - Chất liệu bằng tôn</t>
        </is>
      </c>
      <c r="C38" s="99" t="inlineStr">
        <is>
          <t>cái</t>
        </is>
      </c>
      <c r="D38" s="101">
        <f>'Bao gia'!D27</f>
        <v/>
      </c>
      <c r="E38" s="93" t="n">
        <v>53000</v>
      </c>
      <c r="F38" s="93" t="n">
        <v>50000</v>
      </c>
      <c r="G38" s="102">
        <f>IF(E38="","",'Bao gia'!J27)</f>
        <v/>
      </c>
      <c r="H38" s="102">
        <f>IF(F38="","",'Bao gia'!K27)</f>
        <v/>
      </c>
      <c r="I38" s="93">
        <f>IF(E38="",0,D38*(E38+F38))</f>
        <v/>
      </c>
      <c r="J38" s="93">
        <f>IF(E38="",0,D38*(G38+H38))</f>
        <v/>
      </c>
      <c r="K38" s="93">
        <f>J38-I38</f>
        <v/>
      </c>
      <c r="L38" s="94">
        <f>IF(I38=0,"",K38/I38)</f>
        <v/>
      </c>
      <c r="M38" s="103">
        <f>'Bao gia'!G27</f>
        <v/>
      </c>
      <c r="N38" s="93">
        <f>'Bao gia'!E27</f>
        <v/>
      </c>
      <c r="O38" s="100" t="inlineStr">
        <is>
          <t>Gia von chi tiet</t>
        </is>
      </c>
      <c r="P38" s="100" t="n"/>
    </row>
    <row r="39">
      <c r="A39" s="99" t="n">
        <v>24</v>
      </c>
      <c r="B39" s="100" t="inlineStr">
        <is>
          <t>Kệ đỡ bình chữa cháy</t>
        </is>
      </c>
      <c r="C39" s="99" t="inlineStr">
        <is>
          <t>cái</t>
        </is>
      </c>
      <c r="D39" s="101">
        <f>'Bao gia'!D28</f>
        <v/>
      </c>
      <c r="E39" s="93" t="n">
        <v>137000</v>
      </c>
      <c r="F39" s="93" t="n">
        <v>31538</v>
      </c>
      <c r="G39" s="102">
        <f>IF(E39="","",'Bao gia'!J28)</f>
        <v/>
      </c>
      <c r="H39" s="102">
        <f>IF(F39="","",'Bao gia'!K28)</f>
        <v/>
      </c>
      <c r="I39" s="93">
        <f>IF(E39="",0,D39*(E39+F39))</f>
        <v/>
      </c>
      <c r="J39" s="93">
        <f>IF(E39="",0,D39*(G39+H39))</f>
        <v/>
      </c>
      <c r="K39" s="93">
        <f>J39-I39</f>
        <v/>
      </c>
      <c r="L39" s="94">
        <f>IF(I39=0,"",K39/I39)</f>
        <v/>
      </c>
      <c r="M39" s="103">
        <f>'Bao gia'!G28</f>
        <v/>
      </c>
      <c r="N39" s="93">
        <f>'Bao gia'!E28</f>
        <v/>
      </c>
      <c r="O39" s="100" t="inlineStr">
        <is>
          <t>Gia von chi tiet</t>
        </is>
      </c>
      <c r="P39" s="100" t="n"/>
    </row>
    <row r="40">
      <c r="A40" s="99" t="n">
        <v>25</v>
      </c>
      <c r="B40" s="100" t="inlineStr">
        <is>
          <t>BÌNH BỘT ABC 8KG</t>
        </is>
      </c>
      <c r="C40" s="99" t="inlineStr">
        <is>
          <t>cái</t>
        </is>
      </c>
      <c r="D40" s="101">
        <f>'Bao gia'!D29</f>
        <v/>
      </c>
      <c r="E40" s="93" t="n">
        <v>652000</v>
      </c>
      <c r="F40" s="93" t="n">
        <v>10769</v>
      </c>
      <c r="G40" s="102">
        <f>IF(E40="","",'Bao gia'!J29)</f>
        <v/>
      </c>
      <c r="H40" s="102">
        <f>IF(F40="","",'Bao gia'!K29)</f>
        <v/>
      </c>
      <c r="I40" s="93">
        <f>IF(E40="",0,D40*(E40+F40))</f>
        <v/>
      </c>
      <c r="J40" s="93">
        <f>IF(E40="",0,D40*(G40+H40))</f>
        <v/>
      </c>
      <c r="K40" s="93">
        <f>J40-I40</f>
        <v/>
      </c>
      <c r="L40" s="94">
        <f>IF(I40=0,"",K40/I40)</f>
        <v/>
      </c>
      <c r="M40" s="103">
        <f>'Bao gia'!G29</f>
        <v/>
      </c>
      <c r="N40" s="93">
        <f>'Bao gia'!E29</f>
        <v/>
      </c>
      <c r="O40" s="100" t="inlineStr">
        <is>
          <t>Gia von chi tiet</t>
        </is>
      </c>
      <c r="P40" s="100" t="n"/>
    </row>
    <row r="41">
      <c r="A41" s="99" t="n">
        <v>26</v>
      </c>
      <c r="B41" s="100" t="inlineStr">
        <is>
          <t>Đèn chiếu sáng sự cố</t>
        </is>
      </c>
      <c r="C41" s="99" t="inlineStr">
        <is>
          <t>cái</t>
        </is>
      </c>
      <c r="D41" s="101">
        <f>'Bao gia'!D30</f>
        <v/>
      </c>
      <c r="E41" s="93" t="n">
        <v>190000</v>
      </c>
      <c r="F41" s="93" t="n">
        <v>100000</v>
      </c>
      <c r="G41" s="102">
        <f>IF(E41="","",'Bao gia'!J30)</f>
        <v/>
      </c>
      <c r="H41" s="102">
        <f>IF(F41="","",'Bao gia'!K30)</f>
        <v/>
      </c>
      <c r="I41" s="93">
        <f>IF(E41="",0,D41*(E41+F41))</f>
        <v/>
      </c>
      <c r="J41" s="93">
        <f>IF(E41="",0,D41*(G41+H41))</f>
        <v/>
      </c>
      <c r="K41" s="93">
        <f>J41-I41</f>
        <v/>
      </c>
      <c r="L41" s="94">
        <f>IF(I41=0,"",K41/I41)</f>
        <v/>
      </c>
      <c r="M41" s="103">
        <f>'Bao gia'!G30</f>
        <v/>
      </c>
      <c r="N41" s="93">
        <f>'Bao gia'!E30</f>
        <v/>
      </c>
      <c r="O41" s="100" t="inlineStr">
        <is>
          <t>Gia von chi tiet</t>
        </is>
      </c>
      <c r="P41" s="100" t="n"/>
    </row>
    <row r="42">
      <c r="A42" s="99" t="n">
        <v>27</v>
      </c>
      <c r="B42" s="100" t="inlineStr">
        <is>
          <t>Đèn báo trạm bơm</t>
        </is>
      </c>
      <c r="C42" s="99" t="inlineStr">
        <is>
          <t>cái</t>
        </is>
      </c>
      <c r="D42" s="101">
        <f>'Bao gia'!D31</f>
        <v/>
      </c>
      <c r="E42" s="93" t="n">
        <v>285000</v>
      </c>
      <c r="F42" s="93" t="n">
        <v>100000</v>
      </c>
      <c r="G42" s="102">
        <f>IF(E42="","",'Bao gia'!J31)</f>
        <v/>
      </c>
      <c r="H42" s="102">
        <f>IF(F42="","",'Bao gia'!K31)</f>
        <v/>
      </c>
      <c r="I42" s="93">
        <f>IF(E42="",0,D42*(E42+F42))</f>
        <v/>
      </c>
      <c r="J42" s="93">
        <f>IF(E42="",0,D42*(G42+H42))</f>
        <v/>
      </c>
      <c r="K42" s="93">
        <f>J42-I42</f>
        <v/>
      </c>
      <c r="L42" s="94">
        <f>IF(I42=0,"",K42/I42)</f>
        <v/>
      </c>
      <c r="M42" s="103">
        <f>'Bao gia'!G31</f>
        <v/>
      </c>
      <c r="N42" s="93">
        <f>'Bao gia'!E31</f>
        <v/>
      </c>
      <c r="O42" s="100" t="inlineStr">
        <is>
          <t>Gia von chi tiet</t>
        </is>
      </c>
      <c r="P42" s="100" t="n"/>
    </row>
    <row r="43">
      <c r="A43" s="99" t="n">
        <v>28</v>
      </c>
      <c r="B43" s="100" t="inlineStr">
        <is>
          <t>Sơ đồ chỉ dẫn thoát hiểm 400x600</t>
        </is>
      </c>
      <c r="C43" s="99" t="inlineStr">
        <is>
          <t>cái</t>
        </is>
      </c>
      <c r="D43" s="101">
        <f>'Bao gia'!D32</f>
        <v/>
      </c>
      <c r="E43" s="93" t="n">
        <v>442000</v>
      </c>
      <c r="F43" s="93" t="n">
        <v>50000</v>
      </c>
      <c r="G43" s="102">
        <f>IF(E43="","",'Bao gia'!J32)</f>
        <v/>
      </c>
      <c r="H43" s="102">
        <f>IF(F43="","",'Bao gia'!K32)</f>
        <v/>
      </c>
      <c r="I43" s="93">
        <f>IF(E43="",0,D43*(E43+F43))</f>
        <v/>
      </c>
      <c r="J43" s="93">
        <f>IF(E43="",0,D43*(G43+H43))</f>
        <v/>
      </c>
      <c r="K43" s="93">
        <f>J43-I43</f>
        <v/>
      </c>
      <c r="L43" s="94">
        <f>IF(I43=0,"",K43/I43)</f>
        <v/>
      </c>
      <c r="M43" s="103">
        <f>'Bao gia'!G32</f>
        <v/>
      </c>
      <c r="N43" s="93">
        <f>'Bao gia'!E32</f>
        <v/>
      </c>
      <c r="O43" s="100" t="inlineStr">
        <is>
          <t>Gia von chi tiet</t>
        </is>
      </c>
      <c r="P43" s="100" t="n"/>
    </row>
    <row r="44">
      <c r="A44" s="99" t="n">
        <v>29</v>
      </c>
      <c r="B44" s="100" t="inlineStr">
        <is>
          <t>Họng tiếp nước ngoài nhà 2 cửa- ngàm nhôm</t>
        </is>
      </c>
      <c r="C44" s="99" t="inlineStr">
        <is>
          <t>cái</t>
        </is>
      </c>
      <c r="D44" s="101">
        <f>'Bao gia'!D33</f>
        <v/>
      </c>
      <c r="E44" s="93" t="n">
        <v>1260000</v>
      </c>
      <c r="F44" s="93" t="n">
        <v>500000</v>
      </c>
      <c r="G44" s="102">
        <f>IF(E44="","",'Bao gia'!J33)</f>
        <v/>
      </c>
      <c r="H44" s="102">
        <f>IF(F44="","",'Bao gia'!K33)</f>
        <v/>
      </c>
      <c r="I44" s="93">
        <f>IF(E44="",0,D44*(E44+F44))</f>
        <v/>
      </c>
      <c r="J44" s="93">
        <f>IF(E44="",0,D44*(G44+H44))</f>
        <v/>
      </c>
      <c r="K44" s="93">
        <f>J44-I44</f>
        <v/>
      </c>
      <c r="L44" s="94">
        <f>IF(I44=0,"",K44/I44)</f>
        <v/>
      </c>
      <c r="M44" s="103">
        <f>'Bao gia'!G33</f>
        <v/>
      </c>
      <c r="N44" s="93">
        <f>'Bao gia'!E33</f>
        <v/>
      </c>
      <c r="O44" s="100" t="inlineStr">
        <is>
          <t>Gia von chi tiet</t>
        </is>
      </c>
      <c r="P44" s="100" t="n"/>
    </row>
    <row r="45">
      <c r="A45" s="104" t="n"/>
      <c r="B45" s="104" t="inlineStr">
        <is>
          <t>CỘNG</t>
        </is>
      </c>
      <c r="C45" s="104" t="n"/>
      <c r="D45" s="104" t="n"/>
      <c r="E45" s="104" t="n"/>
      <c r="F45" s="104" t="n"/>
      <c r="G45" s="104" t="n"/>
      <c r="H45" s="104" t="n"/>
      <c r="I45" s="96">
        <f>SUM(I16:I44)</f>
        <v/>
      </c>
      <c r="J45" s="96">
        <f>SUM(J16:J44)</f>
        <v/>
      </c>
      <c r="K45" s="96">
        <f>SUM(K16:K44)</f>
        <v/>
      </c>
      <c r="L45" s="97">
        <f>IF(I45=0,"",K45/I45)</f>
        <v/>
      </c>
      <c r="M45" s="104" t="n"/>
      <c r="N45" s="104" t="n"/>
      <c r="O45" s="104" t="n"/>
      <c r="P45" s="104" t="n"/>
    </row>
    <row r="47">
      <c r="B47" s="105" t="inlineStr">
        <is>
          <t>GHI CHÚ</t>
        </is>
      </c>
    </row>
    <row r="48" ht="32" customHeight="1">
      <c r="B48" s="106" t="inlineStr">
        <is>
          <t>Khối lượng lấy theo cột D sheet 'Bao gia'. Máy bơm, bình, kệ, nội quy, sơ đồ lấy số lượng từ cột 'Tổng số lượng' sheet tb (đã điền công thức cộng các trường). Sheet tb dùng chung giá đề xuất với sheet 'Bao gia'.</t>
        </is>
      </c>
    </row>
    <row r="49" ht="32" customHeight="1">
      <c r="B49" s="106" t="inlineStr">
        <is>
          <t>Không có giá vốn nên chưa tính: Tê giảm thép đen hàn DN65</t>
        </is>
      </c>
    </row>
    <row r="50" ht="32" customHeight="1">
      <c r="B50" s="106" t="inlineStr">
        <is>
          <t>Báo giá chỉ gồm thiết bị và phụ kiện; chưa gồm ống thép, cáp tín hiệu, ống luồn, van, vật tư phụ 5% và phần xây dựng có trong sheet 'Gia von chi tiet'.</t>
        </is>
      </c>
    </row>
  </sheetData>
  <mergeCells count="25">
    <mergeCell ref="B11:D11"/>
    <mergeCell ref="E12:F12"/>
    <mergeCell ref="G12:H12"/>
    <mergeCell ref="B48:P48"/>
    <mergeCell ref="B8:D8"/>
    <mergeCell ref="G11:H11"/>
    <mergeCell ref="G8:H8"/>
    <mergeCell ref="B13:P13"/>
    <mergeCell ref="E8:F8"/>
    <mergeCell ref="B10:D10"/>
    <mergeCell ref="G7:H7"/>
    <mergeCell ref="E10:F10"/>
    <mergeCell ref="G10:H10"/>
    <mergeCell ref="B9:D9"/>
    <mergeCell ref="B49:P49"/>
    <mergeCell ref="E9:F9"/>
    <mergeCell ref="E11:F11"/>
    <mergeCell ref="B50:P50"/>
    <mergeCell ref="B7:D7"/>
    <mergeCell ref="B47:P47"/>
    <mergeCell ref="E7:F7"/>
    <mergeCell ref="B12:D12"/>
    <mergeCell ref="G9:H9"/>
    <mergeCell ref="B4:C4"/>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2026-10-31T05:31:41Z</dcterms:modified>
  <cp:lastModifiedBy>LINH</cp:lastModifiedBy>
  <cp:lastPrinted>2026-10-13T04:31:09Z</cp:lastPrinted>
</cp:coreProperties>
</file>