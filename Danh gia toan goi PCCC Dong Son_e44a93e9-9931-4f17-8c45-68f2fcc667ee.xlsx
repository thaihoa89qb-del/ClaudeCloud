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PCCC tieu hoc THCS\PCCC tieu hoc THCS\"/>
    </mc:Choice>
  </mc:AlternateContent>
  <xr:revisionPtr revIDLastSave="0" documentId="13_ncr:1_{2B145DD9-E605-4FA5-B771-60182D019EC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an goi" sheetId="1" r:id="rId1"/>
    <sheet name="De xuat chinh" sheetId="2" r:id="rId2"/>
    <sheet name="Tung truong" sheetId="3" r:id="rId3"/>
    <sheet name="Gia von chi tiet" sheetId="4" r:id="rId4"/>
    <sheet name="MN chi tiet" sheetId="5" r:id="rId5"/>
    <sheet name="TH-THCS chi tiet" sheetId="6" r:id="rId6"/>
    <sheet name="Can xem lai" sheetId="7" r:id="rId7"/>
  </sheets>
  <definedNames>
    <definedName name="_xlnm._FilterDatabase" localSheetId="3" hidden="1">'Gia von chi tiet'!$A$3:$P$265</definedName>
    <definedName name="_xlnm._FilterDatabase" localSheetId="4" hidden="1">'MN chi tiet'!$A$3:$L$116</definedName>
    <definedName name="_xlnm._FilterDatabase" localSheetId="5" hidden="1">'TH-THCS chi tiet'!$A$3:$L$105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6" l="1"/>
  <c r="G106" i="6"/>
  <c r="F106" i="6"/>
  <c r="E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K97" i="6" s="1"/>
  <c r="I97" i="6"/>
  <c r="J96" i="6"/>
  <c r="I96" i="6"/>
  <c r="J95" i="6"/>
  <c r="I95" i="6"/>
  <c r="J94" i="6"/>
  <c r="K94" i="6" s="1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K87" i="6" s="1"/>
  <c r="I87" i="6"/>
  <c r="J86" i="6"/>
  <c r="K86" i="6" s="1"/>
  <c r="I86" i="6"/>
  <c r="J85" i="6"/>
  <c r="I85" i="6"/>
  <c r="J84" i="6"/>
  <c r="K84" i="6" s="1"/>
  <c r="I84" i="6"/>
  <c r="J83" i="6"/>
  <c r="I83" i="6"/>
  <c r="J82" i="6"/>
  <c r="I82" i="6"/>
  <c r="J81" i="6"/>
  <c r="K81" i="6" s="1"/>
  <c r="I81" i="6"/>
  <c r="J80" i="6"/>
  <c r="K80" i="6" s="1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K61" i="6" s="1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K24" i="6" s="1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H117" i="5"/>
  <c r="G117" i="5"/>
  <c r="F117" i="5"/>
  <c r="E117" i="5"/>
  <c r="J116" i="5"/>
  <c r="K116" i="5" s="1"/>
  <c r="I116" i="5"/>
  <c r="J115" i="5"/>
  <c r="I115" i="5"/>
  <c r="J114" i="5"/>
  <c r="I114" i="5"/>
  <c r="J113" i="5"/>
  <c r="K113" i="5" s="1"/>
  <c r="I113" i="5"/>
  <c r="J112" i="5"/>
  <c r="I112" i="5"/>
  <c r="J111" i="5"/>
  <c r="K111" i="5" s="1"/>
  <c r="I111" i="5"/>
  <c r="J110" i="5"/>
  <c r="I110" i="5"/>
  <c r="J109" i="5"/>
  <c r="I109" i="5"/>
  <c r="J108" i="5"/>
  <c r="I108" i="5"/>
  <c r="J107" i="5"/>
  <c r="K107" i="5" s="1"/>
  <c r="I107" i="5"/>
  <c r="J106" i="5"/>
  <c r="I106" i="5"/>
  <c r="J105" i="5"/>
  <c r="K105" i="5" s="1"/>
  <c r="I105" i="5"/>
  <c r="J104" i="5"/>
  <c r="I104" i="5"/>
  <c r="J103" i="5"/>
  <c r="K103" i="5" s="1"/>
  <c r="I103" i="5"/>
  <c r="J102" i="5"/>
  <c r="I102" i="5"/>
  <c r="J101" i="5"/>
  <c r="K101" i="5" s="1"/>
  <c r="I101" i="5"/>
  <c r="J100" i="5"/>
  <c r="I100" i="5"/>
  <c r="J99" i="5"/>
  <c r="I99" i="5"/>
  <c r="J98" i="5"/>
  <c r="K98" i="5" s="1"/>
  <c r="I98" i="5"/>
  <c r="J97" i="5"/>
  <c r="I97" i="5"/>
  <c r="J96" i="5"/>
  <c r="I96" i="5"/>
  <c r="J95" i="5"/>
  <c r="K95" i="5" s="1"/>
  <c r="I95" i="5"/>
  <c r="J94" i="5"/>
  <c r="I94" i="5"/>
  <c r="J93" i="5"/>
  <c r="K93" i="5" s="1"/>
  <c r="I93" i="5"/>
  <c r="J92" i="5"/>
  <c r="I92" i="5"/>
  <c r="J91" i="5"/>
  <c r="K91" i="5" s="1"/>
  <c r="I91" i="5"/>
  <c r="J90" i="5"/>
  <c r="I90" i="5"/>
  <c r="J89" i="5"/>
  <c r="K89" i="5" s="1"/>
  <c r="I89" i="5"/>
  <c r="J88" i="5"/>
  <c r="I88" i="5"/>
  <c r="J87" i="5"/>
  <c r="K87" i="5" s="1"/>
  <c r="I87" i="5"/>
  <c r="J86" i="5"/>
  <c r="I86" i="5"/>
  <c r="J85" i="5"/>
  <c r="I85" i="5"/>
  <c r="J84" i="5"/>
  <c r="K84" i="5" s="1"/>
  <c r="I84" i="5"/>
  <c r="J83" i="5"/>
  <c r="K83" i="5" s="1"/>
  <c r="I83" i="5"/>
  <c r="J82" i="5"/>
  <c r="I82" i="5"/>
  <c r="J81" i="5"/>
  <c r="K81" i="5" s="1"/>
  <c r="I81" i="5"/>
  <c r="J80" i="5"/>
  <c r="I80" i="5"/>
  <c r="J79" i="5"/>
  <c r="K79" i="5" s="1"/>
  <c r="I79" i="5"/>
  <c r="J78" i="5"/>
  <c r="I78" i="5"/>
  <c r="J77" i="5"/>
  <c r="I77" i="5"/>
  <c r="J76" i="5"/>
  <c r="K76" i="5" s="1"/>
  <c r="I76" i="5"/>
  <c r="J75" i="5"/>
  <c r="I75" i="5"/>
  <c r="J74" i="5"/>
  <c r="K74" i="5" s="1"/>
  <c r="I74" i="5"/>
  <c r="J73" i="5"/>
  <c r="I73" i="5"/>
  <c r="J72" i="5"/>
  <c r="K72" i="5" s="1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K65" i="5" s="1"/>
  <c r="I65" i="5"/>
  <c r="J64" i="5"/>
  <c r="K64" i="5" s="1"/>
  <c r="I64" i="5"/>
  <c r="J63" i="5"/>
  <c r="I63" i="5"/>
  <c r="J62" i="5"/>
  <c r="K62" i="5" s="1"/>
  <c r="I62" i="5"/>
  <c r="J61" i="5"/>
  <c r="I61" i="5"/>
  <c r="J60" i="5"/>
  <c r="I60" i="5"/>
  <c r="J59" i="5"/>
  <c r="K59" i="5" s="1"/>
  <c r="I59" i="5"/>
  <c r="J58" i="5"/>
  <c r="I58" i="5"/>
  <c r="J57" i="5"/>
  <c r="I57" i="5"/>
  <c r="J56" i="5"/>
  <c r="I56" i="5"/>
  <c r="J55" i="5"/>
  <c r="I55" i="5"/>
  <c r="J54" i="5"/>
  <c r="K54" i="5" s="1"/>
  <c r="I54" i="5"/>
  <c r="J53" i="5"/>
  <c r="I53" i="5"/>
  <c r="J52" i="5"/>
  <c r="I52" i="5"/>
  <c r="J51" i="5"/>
  <c r="I51" i="5"/>
  <c r="J50" i="5"/>
  <c r="I50" i="5"/>
  <c r="J49" i="5"/>
  <c r="K49" i="5" s="1"/>
  <c r="I49" i="5"/>
  <c r="J48" i="5"/>
  <c r="I48" i="5"/>
  <c r="J47" i="5"/>
  <c r="I47" i="5"/>
  <c r="J46" i="5"/>
  <c r="I46" i="5"/>
  <c r="J45" i="5"/>
  <c r="K45" i="5" s="1"/>
  <c r="I45" i="5"/>
  <c r="J44" i="5"/>
  <c r="I44" i="5"/>
  <c r="J43" i="5"/>
  <c r="I43" i="5"/>
  <c r="J42" i="5"/>
  <c r="I42" i="5"/>
  <c r="J41" i="5"/>
  <c r="K41" i="5" s="1"/>
  <c r="I41" i="5"/>
  <c r="J40" i="5"/>
  <c r="I40" i="5"/>
  <c r="J39" i="5"/>
  <c r="I39" i="5"/>
  <c r="J38" i="5"/>
  <c r="I38" i="5"/>
  <c r="J37" i="5"/>
  <c r="I37" i="5"/>
  <c r="J36" i="5"/>
  <c r="K36" i="5" s="1"/>
  <c r="I36" i="5"/>
  <c r="J35" i="5"/>
  <c r="I35" i="5"/>
  <c r="J34" i="5"/>
  <c r="K34" i="5" s="1"/>
  <c r="I34" i="5"/>
  <c r="J33" i="5"/>
  <c r="K33" i="5" s="1"/>
  <c r="I33" i="5"/>
  <c r="J32" i="5"/>
  <c r="K32" i="5" s="1"/>
  <c r="I32" i="5"/>
  <c r="J31" i="5"/>
  <c r="K31" i="5" s="1"/>
  <c r="I31" i="5"/>
  <c r="J30" i="5"/>
  <c r="K30" i="5" s="1"/>
  <c r="I30" i="5"/>
  <c r="J29" i="5"/>
  <c r="I29" i="5"/>
  <c r="J28" i="5"/>
  <c r="I28" i="5"/>
  <c r="J27" i="5"/>
  <c r="I27" i="5"/>
  <c r="J26" i="5"/>
  <c r="I26" i="5"/>
  <c r="J25" i="5"/>
  <c r="K25" i="5" s="1"/>
  <c r="I25" i="5"/>
  <c r="J24" i="5"/>
  <c r="K24" i="5" s="1"/>
  <c r="I24" i="5"/>
  <c r="J23" i="5"/>
  <c r="K23" i="5" s="1"/>
  <c r="I23" i="5"/>
  <c r="J22" i="5"/>
  <c r="I22" i="5"/>
  <c r="J21" i="5"/>
  <c r="I21" i="5"/>
  <c r="J20" i="5"/>
  <c r="I20" i="5"/>
  <c r="J19" i="5"/>
  <c r="I19" i="5"/>
  <c r="J18" i="5"/>
  <c r="I18" i="5"/>
  <c r="J17" i="5"/>
  <c r="K17" i="5" s="1"/>
  <c r="I17" i="5"/>
  <c r="J16" i="5"/>
  <c r="I16" i="5"/>
  <c r="J15" i="5"/>
  <c r="K15" i="5" s="1"/>
  <c r="I15" i="5"/>
  <c r="J14" i="5"/>
  <c r="K14" i="5" s="1"/>
  <c r="I14" i="5"/>
  <c r="J13" i="5"/>
  <c r="K13" i="5" s="1"/>
  <c r="I13" i="5"/>
  <c r="J12" i="5"/>
  <c r="K12" i="5" s="1"/>
  <c r="I12" i="5"/>
  <c r="J11" i="5"/>
  <c r="K11" i="5" s="1"/>
  <c r="I11" i="5"/>
  <c r="J10" i="5"/>
  <c r="I10" i="5"/>
  <c r="J9" i="5"/>
  <c r="K9" i="5" s="1"/>
  <c r="I9" i="5"/>
  <c r="J8" i="5"/>
  <c r="K8" i="5" s="1"/>
  <c r="I8" i="5"/>
  <c r="J7" i="5"/>
  <c r="I7" i="5"/>
  <c r="J6" i="5"/>
  <c r="I6" i="5"/>
  <c r="J5" i="5"/>
  <c r="I5" i="5"/>
  <c r="J4" i="5"/>
  <c r="I4" i="5"/>
  <c r="I117" i="5" s="1"/>
  <c r="K266" i="4"/>
  <c r="P265" i="4"/>
  <c r="J265" i="4"/>
  <c r="I265" i="4"/>
  <c r="L265" i="4" s="1"/>
  <c r="M265" i="4" s="1"/>
  <c r="P264" i="4"/>
  <c r="J264" i="4"/>
  <c r="I264" i="4"/>
  <c r="L264" i="4" s="1"/>
  <c r="M264" i="4" s="1"/>
  <c r="P263" i="4"/>
  <c r="J263" i="4"/>
  <c r="I263" i="4"/>
  <c r="L263" i="4" s="1"/>
  <c r="M263" i="4" s="1"/>
  <c r="P262" i="4"/>
  <c r="J262" i="4"/>
  <c r="I262" i="4"/>
  <c r="L262" i="4" s="1"/>
  <c r="M262" i="4" s="1"/>
  <c r="P261" i="4"/>
  <c r="J261" i="4"/>
  <c r="I261" i="4"/>
  <c r="L261" i="4" s="1"/>
  <c r="M261" i="4" s="1"/>
  <c r="J260" i="4"/>
  <c r="P260" i="4" s="1"/>
  <c r="I260" i="4"/>
  <c r="L260" i="4" s="1"/>
  <c r="M260" i="4" s="1"/>
  <c r="P259" i="4"/>
  <c r="J259" i="4"/>
  <c r="I259" i="4"/>
  <c r="L259" i="4" s="1"/>
  <c r="M259" i="4" s="1"/>
  <c r="P258" i="4"/>
  <c r="J258" i="4"/>
  <c r="I258" i="4"/>
  <c r="L258" i="4" s="1"/>
  <c r="M258" i="4" s="1"/>
  <c r="P257" i="4"/>
  <c r="J257" i="4"/>
  <c r="I257" i="4"/>
  <c r="L257" i="4" s="1"/>
  <c r="M257" i="4" s="1"/>
  <c r="P256" i="4"/>
  <c r="J256" i="4"/>
  <c r="I256" i="4"/>
  <c r="L256" i="4" s="1"/>
  <c r="M256" i="4" s="1"/>
  <c r="P255" i="4"/>
  <c r="J255" i="4"/>
  <c r="I255" i="4"/>
  <c r="L255" i="4" s="1"/>
  <c r="M255" i="4" s="1"/>
  <c r="P254" i="4"/>
  <c r="J254" i="4"/>
  <c r="I254" i="4"/>
  <c r="L254" i="4" s="1"/>
  <c r="P253" i="4"/>
  <c r="J253" i="4"/>
  <c r="I253" i="4"/>
  <c r="L253" i="4" s="1"/>
  <c r="M253" i="4" s="1"/>
  <c r="P252" i="4"/>
  <c r="J252" i="4"/>
  <c r="I252" i="4"/>
  <c r="L252" i="4" s="1"/>
  <c r="M252" i="4" s="1"/>
  <c r="P251" i="4"/>
  <c r="J251" i="4"/>
  <c r="I251" i="4"/>
  <c r="L251" i="4" s="1"/>
  <c r="M251" i="4" s="1"/>
  <c r="P250" i="4"/>
  <c r="J250" i="4"/>
  <c r="I250" i="4"/>
  <c r="L250" i="4" s="1"/>
  <c r="M250" i="4" s="1"/>
  <c r="P249" i="4"/>
  <c r="J249" i="4"/>
  <c r="I249" i="4"/>
  <c r="L249" i="4" s="1"/>
  <c r="M249" i="4" s="1"/>
  <c r="P248" i="4"/>
  <c r="J248" i="4"/>
  <c r="I248" i="4"/>
  <c r="L248" i="4" s="1"/>
  <c r="M248" i="4" s="1"/>
  <c r="P247" i="4"/>
  <c r="J247" i="4"/>
  <c r="I247" i="4"/>
  <c r="L247" i="4" s="1"/>
  <c r="M247" i="4" s="1"/>
  <c r="P246" i="4"/>
  <c r="J246" i="4"/>
  <c r="I246" i="4"/>
  <c r="L246" i="4" s="1"/>
  <c r="M246" i="4" s="1"/>
  <c r="P245" i="4"/>
  <c r="J245" i="4"/>
  <c r="I245" i="4"/>
  <c r="L245" i="4" s="1"/>
  <c r="M245" i="4" s="1"/>
  <c r="P244" i="4"/>
  <c r="J244" i="4"/>
  <c r="I244" i="4"/>
  <c r="L244" i="4" s="1"/>
  <c r="M244" i="4" s="1"/>
  <c r="P243" i="4"/>
  <c r="J243" i="4"/>
  <c r="I243" i="4"/>
  <c r="L243" i="4" s="1"/>
  <c r="M243" i="4" s="1"/>
  <c r="J242" i="4"/>
  <c r="P242" i="4" s="1"/>
  <c r="I242" i="4"/>
  <c r="L242" i="4" s="1"/>
  <c r="M242" i="4" s="1"/>
  <c r="P241" i="4"/>
  <c r="J241" i="4"/>
  <c r="I241" i="4"/>
  <c r="L241" i="4" s="1"/>
  <c r="M241" i="4" s="1"/>
  <c r="P240" i="4"/>
  <c r="J240" i="4"/>
  <c r="I240" i="4"/>
  <c r="L240" i="4" s="1"/>
  <c r="M240" i="4" s="1"/>
  <c r="P239" i="4"/>
  <c r="J239" i="4"/>
  <c r="I239" i="4"/>
  <c r="L239" i="4" s="1"/>
  <c r="M239" i="4" s="1"/>
  <c r="P238" i="4"/>
  <c r="J238" i="4"/>
  <c r="I238" i="4"/>
  <c r="P237" i="4"/>
  <c r="J237" i="4"/>
  <c r="I237" i="4"/>
  <c r="L237" i="4" s="1"/>
  <c r="M237" i="4" s="1"/>
  <c r="P236" i="4"/>
  <c r="J236" i="4"/>
  <c r="I236" i="4"/>
  <c r="L236" i="4" s="1"/>
  <c r="M236" i="4" s="1"/>
  <c r="P235" i="4"/>
  <c r="J235" i="4"/>
  <c r="I235" i="4"/>
  <c r="L235" i="4" s="1"/>
  <c r="M235" i="4" s="1"/>
  <c r="P234" i="4"/>
  <c r="J234" i="4"/>
  <c r="I234" i="4"/>
  <c r="L234" i="4" s="1"/>
  <c r="M234" i="4" s="1"/>
  <c r="P233" i="4"/>
  <c r="J233" i="4"/>
  <c r="I233" i="4"/>
  <c r="L233" i="4" s="1"/>
  <c r="M233" i="4" s="1"/>
  <c r="P232" i="4"/>
  <c r="J232" i="4"/>
  <c r="I232" i="4"/>
  <c r="L232" i="4" s="1"/>
  <c r="M232" i="4" s="1"/>
  <c r="P231" i="4"/>
  <c r="J231" i="4"/>
  <c r="I231" i="4"/>
  <c r="L231" i="4" s="1"/>
  <c r="M231" i="4" s="1"/>
  <c r="P230" i="4"/>
  <c r="J230" i="4"/>
  <c r="L230" i="4" s="1"/>
  <c r="M230" i="4" s="1"/>
  <c r="I230" i="4"/>
  <c r="P229" i="4"/>
  <c r="J229" i="4"/>
  <c r="I229" i="4"/>
  <c r="L229" i="4" s="1"/>
  <c r="M229" i="4" s="1"/>
  <c r="P228" i="4"/>
  <c r="J228" i="4"/>
  <c r="I228" i="4"/>
  <c r="L228" i="4" s="1"/>
  <c r="M228" i="4" s="1"/>
  <c r="P227" i="4"/>
  <c r="J227" i="4"/>
  <c r="I227" i="4"/>
  <c r="L227" i="4" s="1"/>
  <c r="M227" i="4" s="1"/>
  <c r="P226" i="4"/>
  <c r="J226" i="4"/>
  <c r="I226" i="4"/>
  <c r="L226" i="4" s="1"/>
  <c r="M226" i="4" s="1"/>
  <c r="P225" i="4"/>
  <c r="J225" i="4"/>
  <c r="I225" i="4"/>
  <c r="L225" i="4" s="1"/>
  <c r="M225" i="4" s="1"/>
  <c r="P224" i="4"/>
  <c r="J224" i="4"/>
  <c r="I224" i="4"/>
  <c r="L224" i="4" s="1"/>
  <c r="M224" i="4" s="1"/>
  <c r="P223" i="4"/>
  <c r="J223" i="4"/>
  <c r="I223" i="4"/>
  <c r="P222" i="4"/>
  <c r="J222" i="4"/>
  <c r="I222" i="4"/>
  <c r="L222" i="4" s="1"/>
  <c r="M222" i="4" s="1"/>
  <c r="P221" i="4"/>
  <c r="J221" i="4"/>
  <c r="I221" i="4"/>
  <c r="L221" i="4" s="1"/>
  <c r="P220" i="4"/>
  <c r="J220" i="4"/>
  <c r="I220" i="4"/>
  <c r="L220" i="4" s="1"/>
  <c r="M220" i="4" s="1"/>
  <c r="P219" i="4"/>
  <c r="J219" i="4"/>
  <c r="I219" i="4"/>
  <c r="P218" i="4"/>
  <c r="J218" i="4"/>
  <c r="I218" i="4"/>
  <c r="L218" i="4" s="1"/>
  <c r="M218" i="4" s="1"/>
  <c r="P217" i="4"/>
  <c r="J217" i="4"/>
  <c r="I217" i="4"/>
  <c r="L217" i="4" s="1"/>
  <c r="M217" i="4" s="1"/>
  <c r="P216" i="4"/>
  <c r="J216" i="4"/>
  <c r="I216" i="4"/>
  <c r="L216" i="4" s="1"/>
  <c r="M216" i="4" s="1"/>
  <c r="P215" i="4"/>
  <c r="J215" i="4"/>
  <c r="I215" i="4"/>
  <c r="L215" i="4" s="1"/>
  <c r="M215" i="4" s="1"/>
  <c r="P214" i="4"/>
  <c r="J214" i="4"/>
  <c r="I214" i="4"/>
  <c r="L214" i="4" s="1"/>
  <c r="M214" i="4" s="1"/>
  <c r="P213" i="4"/>
  <c r="J213" i="4"/>
  <c r="I213" i="4"/>
  <c r="L213" i="4" s="1"/>
  <c r="M213" i="4" s="1"/>
  <c r="P212" i="4"/>
  <c r="J212" i="4"/>
  <c r="I212" i="4"/>
  <c r="L212" i="4" s="1"/>
  <c r="M212" i="4" s="1"/>
  <c r="J211" i="4"/>
  <c r="P211" i="4" s="1"/>
  <c r="I211" i="4"/>
  <c r="L211" i="4" s="1"/>
  <c r="M211" i="4" s="1"/>
  <c r="J210" i="4"/>
  <c r="P210" i="4" s="1"/>
  <c r="I210" i="4"/>
  <c r="L210" i="4" s="1"/>
  <c r="M210" i="4" s="1"/>
  <c r="P209" i="4"/>
  <c r="J209" i="4"/>
  <c r="I209" i="4"/>
  <c r="L209" i="4" s="1"/>
  <c r="M209" i="4" s="1"/>
  <c r="P208" i="4"/>
  <c r="J208" i="4"/>
  <c r="I208" i="4"/>
  <c r="L208" i="4" s="1"/>
  <c r="M208" i="4" s="1"/>
  <c r="J207" i="4"/>
  <c r="P207" i="4" s="1"/>
  <c r="I207" i="4"/>
  <c r="L207" i="4" s="1"/>
  <c r="M207" i="4" s="1"/>
  <c r="P206" i="4"/>
  <c r="J206" i="4"/>
  <c r="I206" i="4"/>
  <c r="L206" i="4" s="1"/>
  <c r="M206" i="4" s="1"/>
  <c r="P205" i="4"/>
  <c r="J205" i="4"/>
  <c r="I205" i="4"/>
  <c r="L205" i="4" s="1"/>
  <c r="M205" i="4" s="1"/>
  <c r="P204" i="4"/>
  <c r="J204" i="4"/>
  <c r="I204" i="4"/>
  <c r="L204" i="4" s="1"/>
  <c r="M204" i="4" s="1"/>
  <c r="P203" i="4"/>
  <c r="J203" i="4"/>
  <c r="I203" i="4"/>
  <c r="L203" i="4" s="1"/>
  <c r="M203" i="4" s="1"/>
  <c r="P202" i="4"/>
  <c r="J202" i="4"/>
  <c r="I202" i="4"/>
  <c r="L202" i="4" s="1"/>
  <c r="M202" i="4" s="1"/>
  <c r="P201" i="4"/>
  <c r="J201" i="4"/>
  <c r="I201" i="4"/>
  <c r="L201" i="4" s="1"/>
  <c r="M201" i="4" s="1"/>
  <c r="P200" i="4"/>
  <c r="J200" i="4"/>
  <c r="I200" i="4"/>
  <c r="P199" i="4"/>
  <c r="J199" i="4"/>
  <c r="I199" i="4"/>
  <c r="L199" i="4" s="1"/>
  <c r="M199" i="4" s="1"/>
  <c r="P198" i="4"/>
  <c r="J198" i="4"/>
  <c r="I198" i="4"/>
  <c r="L198" i="4" s="1"/>
  <c r="M198" i="4" s="1"/>
  <c r="P197" i="4"/>
  <c r="J197" i="4"/>
  <c r="I197" i="4"/>
  <c r="L197" i="4" s="1"/>
  <c r="M197" i="4" s="1"/>
  <c r="P196" i="4"/>
  <c r="J196" i="4"/>
  <c r="I196" i="4"/>
  <c r="L196" i="4" s="1"/>
  <c r="M196" i="4" s="1"/>
  <c r="P195" i="4"/>
  <c r="J195" i="4"/>
  <c r="I195" i="4"/>
  <c r="L195" i="4" s="1"/>
  <c r="M195" i="4" s="1"/>
  <c r="P194" i="4"/>
  <c r="J194" i="4"/>
  <c r="I194" i="4"/>
  <c r="L194" i="4" s="1"/>
  <c r="M194" i="4" s="1"/>
  <c r="P193" i="4"/>
  <c r="J193" i="4"/>
  <c r="I193" i="4"/>
  <c r="L193" i="4" s="1"/>
  <c r="M193" i="4" s="1"/>
  <c r="P192" i="4"/>
  <c r="J192" i="4"/>
  <c r="I192" i="4"/>
  <c r="L192" i="4" s="1"/>
  <c r="M192" i="4" s="1"/>
  <c r="P191" i="4"/>
  <c r="J191" i="4"/>
  <c r="I191" i="4"/>
  <c r="L191" i="4" s="1"/>
  <c r="M191" i="4" s="1"/>
  <c r="P190" i="4"/>
  <c r="J190" i="4"/>
  <c r="I190" i="4"/>
  <c r="L190" i="4" s="1"/>
  <c r="M190" i="4" s="1"/>
  <c r="P189" i="4"/>
  <c r="J189" i="4"/>
  <c r="I189" i="4"/>
  <c r="L189" i="4" s="1"/>
  <c r="P188" i="4"/>
  <c r="J188" i="4"/>
  <c r="I188" i="4"/>
  <c r="L188" i="4" s="1"/>
  <c r="M188" i="4" s="1"/>
  <c r="P187" i="4"/>
  <c r="J187" i="4"/>
  <c r="I187" i="4"/>
  <c r="L187" i="4" s="1"/>
  <c r="M187" i="4" s="1"/>
  <c r="P186" i="4"/>
  <c r="J186" i="4"/>
  <c r="I186" i="4"/>
  <c r="L186" i="4" s="1"/>
  <c r="M186" i="4" s="1"/>
  <c r="P185" i="4"/>
  <c r="J185" i="4"/>
  <c r="I185" i="4"/>
  <c r="L185" i="4" s="1"/>
  <c r="M185" i="4" s="1"/>
  <c r="P184" i="4"/>
  <c r="J184" i="4"/>
  <c r="I184" i="4"/>
  <c r="L184" i="4" s="1"/>
  <c r="M184" i="4" s="1"/>
  <c r="P183" i="4"/>
  <c r="J183" i="4"/>
  <c r="I183" i="4"/>
  <c r="L183" i="4" s="1"/>
  <c r="M183" i="4" s="1"/>
  <c r="P182" i="4"/>
  <c r="J182" i="4"/>
  <c r="I182" i="4"/>
  <c r="P181" i="4"/>
  <c r="J181" i="4"/>
  <c r="I181" i="4"/>
  <c r="L181" i="4" s="1"/>
  <c r="M181" i="4" s="1"/>
  <c r="P180" i="4"/>
  <c r="J180" i="4"/>
  <c r="I180" i="4"/>
  <c r="L180" i="4" s="1"/>
  <c r="M180" i="4" s="1"/>
  <c r="P179" i="4"/>
  <c r="J179" i="4"/>
  <c r="I179" i="4"/>
  <c r="L179" i="4" s="1"/>
  <c r="M179" i="4" s="1"/>
  <c r="J178" i="4"/>
  <c r="P178" i="4" s="1"/>
  <c r="I178" i="4"/>
  <c r="L178" i="4" s="1"/>
  <c r="M178" i="4" s="1"/>
  <c r="P177" i="4"/>
  <c r="J177" i="4"/>
  <c r="I177" i="4"/>
  <c r="L177" i="4" s="1"/>
  <c r="M177" i="4" s="1"/>
  <c r="P176" i="4"/>
  <c r="J176" i="4"/>
  <c r="I176" i="4"/>
  <c r="L176" i="4" s="1"/>
  <c r="M176" i="4" s="1"/>
  <c r="P175" i="4"/>
  <c r="J175" i="4"/>
  <c r="I175" i="4"/>
  <c r="L175" i="4" s="1"/>
  <c r="M175" i="4" s="1"/>
  <c r="P174" i="4"/>
  <c r="J174" i="4"/>
  <c r="I174" i="4"/>
  <c r="L174" i="4" s="1"/>
  <c r="M174" i="4" s="1"/>
  <c r="P173" i="4"/>
  <c r="J173" i="4"/>
  <c r="I173" i="4"/>
  <c r="L173" i="4" s="1"/>
  <c r="M173" i="4" s="1"/>
  <c r="P172" i="4"/>
  <c r="J172" i="4"/>
  <c r="I172" i="4"/>
  <c r="L172" i="4" s="1"/>
  <c r="M172" i="4" s="1"/>
  <c r="P171" i="4"/>
  <c r="J171" i="4"/>
  <c r="I171" i="4"/>
  <c r="L171" i="4" s="1"/>
  <c r="M171" i="4" s="1"/>
  <c r="P170" i="4"/>
  <c r="J170" i="4"/>
  <c r="I170" i="4"/>
  <c r="L170" i="4" s="1"/>
  <c r="M170" i="4" s="1"/>
  <c r="P169" i="4"/>
  <c r="J169" i="4"/>
  <c r="I169" i="4"/>
  <c r="L169" i="4" s="1"/>
  <c r="P168" i="4"/>
  <c r="J168" i="4"/>
  <c r="I168" i="4"/>
  <c r="L168" i="4" s="1"/>
  <c r="M168" i="4" s="1"/>
  <c r="P167" i="4"/>
  <c r="J167" i="4"/>
  <c r="I167" i="4"/>
  <c r="L167" i="4" s="1"/>
  <c r="M167" i="4" s="1"/>
  <c r="P166" i="4"/>
  <c r="J166" i="4"/>
  <c r="I166" i="4"/>
  <c r="L166" i="4" s="1"/>
  <c r="M166" i="4" s="1"/>
  <c r="P165" i="4"/>
  <c r="J165" i="4"/>
  <c r="I165" i="4"/>
  <c r="L165" i="4" s="1"/>
  <c r="M165" i="4" s="1"/>
  <c r="P164" i="4"/>
  <c r="J164" i="4"/>
  <c r="I164" i="4"/>
  <c r="L164" i="4" s="1"/>
  <c r="M164" i="4" s="1"/>
  <c r="J163" i="4"/>
  <c r="P163" i="4" s="1"/>
  <c r="I163" i="4"/>
  <c r="L163" i="4" s="1"/>
  <c r="M163" i="4" s="1"/>
  <c r="P162" i="4"/>
  <c r="J162" i="4"/>
  <c r="I162" i="4"/>
  <c r="L162" i="4" s="1"/>
  <c r="M162" i="4" s="1"/>
  <c r="P161" i="4"/>
  <c r="J161" i="4"/>
  <c r="I161" i="4"/>
  <c r="L161" i="4" s="1"/>
  <c r="M161" i="4" s="1"/>
  <c r="P160" i="4"/>
  <c r="J160" i="4"/>
  <c r="I160" i="4"/>
  <c r="L160" i="4" s="1"/>
  <c r="M160" i="4" s="1"/>
  <c r="P159" i="4"/>
  <c r="J159" i="4"/>
  <c r="I159" i="4"/>
  <c r="L159" i="4" s="1"/>
  <c r="M159" i="4" s="1"/>
  <c r="J158" i="4"/>
  <c r="P158" i="4" s="1"/>
  <c r="I158" i="4"/>
  <c r="L158" i="4" s="1"/>
  <c r="M158" i="4" s="1"/>
  <c r="P157" i="4"/>
  <c r="J157" i="4"/>
  <c r="I157" i="4"/>
  <c r="L157" i="4" s="1"/>
  <c r="M157" i="4" s="1"/>
  <c r="P156" i="4"/>
  <c r="J156" i="4"/>
  <c r="I156" i="4"/>
  <c r="L156" i="4" s="1"/>
  <c r="M156" i="4" s="1"/>
  <c r="P155" i="4"/>
  <c r="J155" i="4"/>
  <c r="I155" i="4"/>
  <c r="L155" i="4" s="1"/>
  <c r="M155" i="4" s="1"/>
  <c r="P154" i="4"/>
  <c r="J154" i="4"/>
  <c r="I154" i="4"/>
  <c r="L154" i="4" s="1"/>
  <c r="M154" i="4" s="1"/>
  <c r="P153" i="4"/>
  <c r="J153" i="4"/>
  <c r="I153" i="4"/>
  <c r="L153" i="4" s="1"/>
  <c r="M153" i="4" s="1"/>
  <c r="P152" i="4"/>
  <c r="J152" i="4"/>
  <c r="I152" i="4"/>
  <c r="L152" i="4" s="1"/>
  <c r="M152" i="4" s="1"/>
  <c r="P151" i="4"/>
  <c r="J151" i="4"/>
  <c r="I151" i="4"/>
  <c r="L151" i="4" s="1"/>
  <c r="M151" i="4" s="1"/>
  <c r="P150" i="4"/>
  <c r="J150" i="4"/>
  <c r="I150" i="4"/>
  <c r="L150" i="4" s="1"/>
  <c r="M150" i="4" s="1"/>
  <c r="P149" i="4"/>
  <c r="J149" i="4"/>
  <c r="I149" i="4"/>
  <c r="L149" i="4" s="1"/>
  <c r="M149" i="4" s="1"/>
  <c r="P148" i="4"/>
  <c r="J148" i="4"/>
  <c r="I148" i="4"/>
  <c r="L148" i="4" s="1"/>
  <c r="M148" i="4" s="1"/>
  <c r="P147" i="4"/>
  <c r="J147" i="4"/>
  <c r="I147" i="4"/>
  <c r="L147" i="4" s="1"/>
  <c r="P146" i="4"/>
  <c r="J146" i="4"/>
  <c r="I146" i="4"/>
  <c r="L146" i="4" s="1"/>
  <c r="M146" i="4" s="1"/>
  <c r="P145" i="4"/>
  <c r="J145" i="4"/>
  <c r="I145" i="4"/>
  <c r="L145" i="4" s="1"/>
  <c r="M145" i="4" s="1"/>
  <c r="P144" i="4"/>
  <c r="J144" i="4"/>
  <c r="I144" i="4"/>
  <c r="L144" i="4" s="1"/>
  <c r="M144" i="4" s="1"/>
  <c r="P143" i="4"/>
  <c r="J143" i="4"/>
  <c r="I143" i="4"/>
  <c r="L143" i="4" s="1"/>
  <c r="M143" i="4" s="1"/>
  <c r="P142" i="4"/>
  <c r="J142" i="4"/>
  <c r="I142" i="4"/>
  <c r="L142" i="4" s="1"/>
  <c r="M142" i="4" s="1"/>
  <c r="P141" i="4"/>
  <c r="J141" i="4"/>
  <c r="I141" i="4"/>
  <c r="L141" i="4" s="1"/>
  <c r="M141" i="4" s="1"/>
  <c r="P140" i="4"/>
  <c r="J140" i="4"/>
  <c r="I140" i="4"/>
  <c r="L140" i="4" s="1"/>
  <c r="M140" i="4" s="1"/>
  <c r="P139" i="4"/>
  <c r="J139" i="4"/>
  <c r="I139" i="4"/>
  <c r="L139" i="4" s="1"/>
  <c r="M139" i="4" s="1"/>
  <c r="P138" i="4"/>
  <c r="J138" i="4"/>
  <c r="I138" i="4"/>
  <c r="L138" i="4" s="1"/>
  <c r="M138" i="4" s="1"/>
  <c r="P137" i="4"/>
  <c r="J137" i="4"/>
  <c r="I137" i="4"/>
  <c r="L137" i="4" s="1"/>
  <c r="M137" i="4" s="1"/>
  <c r="J136" i="4"/>
  <c r="P136" i="4" s="1"/>
  <c r="I136" i="4"/>
  <c r="L136" i="4" s="1"/>
  <c r="M136" i="4" s="1"/>
  <c r="J135" i="4"/>
  <c r="P135" i="4" s="1"/>
  <c r="I135" i="4"/>
  <c r="L135" i="4" s="1"/>
  <c r="M135" i="4" s="1"/>
  <c r="P134" i="4"/>
  <c r="J134" i="4"/>
  <c r="I134" i="4"/>
  <c r="L134" i="4" s="1"/>
  <c r="M134" i="4" s="1"/>
  <c r="P133" i="4"/>
  <c r="J133" i="4"/>
  <c r="I133" i="4"/>
  <c r="L133" i="4" s="1"/>
  <c r="M133" i="4" s="1"/>
  <c r="J132" i="4"/>
  <c r="P132" i="4" s="1"/>
  <c r="I132" i="4"/>
  <c r="L132" i="4" s="1"/>
  <c r="M132" i="4" s="1"/>
  <c r="P131" i="4"/>
  <c r="J131" i="4"/>
  <c r="I131" i="4"/>
  <c r="L131" i="4" s="1"/>
  <c r="M131" i="4" s="1"/>
  <c r="P130" i="4"/>
  <c r="J130" i="4"/>
  <c r="I130" i="4"/>
  <c r="L130" i="4" s="1"/>
  <c r="M130" i="4" s="1"/>
  <c r="P129" i="4"/>
  <c r="J129" i="4"/>
  <c r="I129" i="4"/>
  <c r="L129" i="4" s="1"/>
  <c r="M129" i="4" s="1"/>
  <c r="P128" i="4"/>
  <c r="J128" i="4"/>
  <c r="I128" i="4"/>
  <c r="L128" i="4" s="1"/>
  <c r="M128" i="4" s="1"/>
  <c r="P127" i="4"/>
  <c r="J127" i="4"/>
  <c r="I127" i="4"/>
  <c r="L127" i="4" s="1"/>
  <c r="M127" i="4" s="1"/>
  <c r="P126" i="4"/>
  <c r="J126" i="4"/>
  <c r="I126" i="4"/>
  <c r="L126" i="4" s="1"/>
  <c r="M126" i="4" s="1"/>
  <c r="P125" i="4"/>
  <c r="J125" i="4"/>
  <c r="I125" i="4"/>
  <c r="L125" i="4" s="1"/>
  <c r="M125" i="4" s="1"/>
  <c r="P124" i="4"/>
  <c r="J124" i="4"/>
  <c r="I124" i="4"/>
  <c r="L124" i="4" s="1"/>
  <c r="M124" i="4" s="1"/>
  <c r="P123" i="4"/>
  <c r="J123" i="4"/>
  <c r="I123" i="4"/>
  <c r="L123" i="4" s="1"/>
  <c r="M123" i="4" s="1"/>
  <c r="P122" i="4"/>
  <c r="J122" i="4"/>
  <c r="I122" i="4"/>
  <c r="L122" i="4" s="1"/>
  <c r="M122" i="4" s="1"/>
  <c r="P121" i="4"/>
  <c r="J121" i="4"/>
  <c r="I121" i="4"/>
  <c r="L121" i="4" s="1"/>
  <c r="M121" i="4" s="1"/>
  <c r="P120" i="4"/>
  <c r="J120" i="4"/>
  <c r="I120" i="4"/>
  <c r="L120" i="4" s="1"/>
  <c r="M120" i="4" s="1"/>
  <c r="P119" i="4"/>
  <c r="J119" i="4"/>
  <c r="I119" i="4"/>
  <c r="L119" i="4" s="1"/>
  <c r="M119" i="4" s="1"/>
  <c r="P118" i="4"/>
  <c r="J118" i="4"/>
  <c r="I118" i="4"/>
  <c r="L118" i="4" s="1"/>
  <c r="M118" i="4" s="1"/>
  <c r="P117" i="4"/>
  <c r="J117" i="4"/>
  <c r="I117" i="4"/>
  <c r="L117" i="4" s="1"/>
  <c r="M117" i="4" s="1"/>
  <c r="P116" i="4"/>
  <c r="J116" i="4"/>
  <c r="I116" i="4"/>
  <c r="L116" i="4" s="1"/>
  <c r="M116" i="4" s="1"/>
  <c r="P115" i="4"/>
  <c r="J115" i="4"/>
  <c r="I115" i="4"/>
  <c r="L115" i="4" s="1"/>
  <c r="M115" i="4" s="1"/>
  <c r="P114" i="4"/>
  <c r="J114" i="4"/>
  <c r="I114" i="4"/>
  <c r="L114" i="4" s="1"/>
  <c r="M114" i="4" s="1"/>
  <c r="P113" i="4"/>
  <c r="J113" i="4"/>
  <c r="I113" i="4"/>
  <c r="L113" i="4" s="1"/>
  <c r="M113" i="4" s="1"/>
  <c r="P112" i="4"/>
  <c r="J112" i="4"/>
  <c r="I112" i="4"/>
  <c r="L112" i="4" s="1"/>
  <c r="M112" i="4" s="1"/>
  <c r="P111" i="4"/>
  <c r="J111" i="4"/>
  <c r="I111" i="4"/>
  <c r="L111" i="4" s="1"/>
  <c r="M111" i="4" s="1"/>
  <c r="P110" i="4"/>
  <c r="J110" i="4"/>
  <c r="I110" i="4"/>
  <c r="L110" i="4" s="1"/>
  <c r="M110" i="4" s="1"/>
  <c r="P109" i="4"/>
  <c r="J109" i="4"/>
  <c r="I109" i="4"/>
  <c r="L109" i="4" s="1"/>
  <c r="M109" i="4" s="1"/>
  <c r="P108" i="4"/>
  <c r="J108" i="4"/>
  <c r="I108" i="4"/>
  <c r="L108" i="4" s="1"/>
  <c r="M108" i="4" s="1"/>
  <c r="P107" i="4"/>
  <c r="J107" i="4"/>
  <c r="I107" i="4"/>
  <c r="L107" i="4" s="1"/>
  <c r="M107" i="4" s="1"/>
  <c r="P106" i="4"/>
  <c r="J106" i="4"/>
  <c r="I106" i="4"/>
  <c r="L106" i="4" s="1"/>
  <c r="M106" i="4" s="1"/>
  <c r="P105" i="4"/>
  <c r="J105" i="4"/>
  <c r="I105" i="4"/>
  <c r="L105" i="4" s="1"/>
  <c r="M105" i="4" s="1"/>
  <c r="P104" i="4"/>
  <c r="J104" i="4"/>
  <c r="I104" i="4"/>
  <c r="L104" i="4" s="1"/>
  <c r="M104" i="4" s="1"/>
  <c r="P103" i="4"/>
  <c r="J103" i="4"/>
  <c r="I103" i="4"/>
  <c r="L103" i="4" s="1"/>
  <c r="M103" i="4" s="1"/>
  <c r="P102" i="4"/>
  <c r="J102" i="4"/>
  <c r="I102" i="4"/>
  <c r="L102" i="4" s="1"/>
  <c r="M102" i="4" s="1"/>
  <c r="P101" i="4"/>
  <c r="J101" i="4"/>
  <c r="I101" i="4"/>
  <c r="L101" i="4" s="1"/>
  <c r="M101" i="4" s="1"/>
  <c r="P100" i="4"/>
  <c r="J100" i="4"/>
  <c r="I100" i="4"/>
  <c r="P99" i="4"/>
  <c r="J99" i="4"/>
  <c r="I99" i="4"/>
  <c r="L99" i="4" s="1"/>
  <c r="P98" i="4"/>
  <c r="J98" i="4"/>
  <c r="I98" i="4"/>
  <c r="L98" i="4" s="1"/>
  <c r="M98" i="4" s="1"/>
  <c r="P97" i="4"/>
  <c r="J97" i="4"/>
  <c r="I97" i="4"/>
  <c r="L97" i="4" s="1"/>
  <c r="M97" i="4" s="1"/>
  <c r="P96" i="4"/>
  <c r="J96" i="4"/>
  <c r="I96" i="4"/>
  <c r="L96" i="4" s="1"/>
  <c r="M96" i="4" s="1"/>
  <c r="P95" i="4"/>
  <c r="J95" i="4"/>
  <c r="I95" i="4"/>
  <c r="L95" i="4" s="1"/>
  <c r="M95" i="4" s="1"/>
  <c r="P94" i="4"/>
  <c r="J94" i="4"/>
  <c r="I94" i="4"/>
  <c r="L94" i="4" s="1"/>
  <c r="M94" i="4" s="1"/>
  <c r="P93" i="4"/>
  <c r="J93" i="4"/>
  <c r="I93" i="4"/>
  <c r="L93" i="4" s="1"/>
  <c r="M93" i="4" s="1"/>
  <c r="P92" i="4"/>
  <c r="J92" i="4"/>
  <c r="I92" i="4"/>
  <c r="L92" i="4" s="1"/>
  <c r="M92" i="4" s="1"/>
  <c r="P91" i="4"/>
  <c r="J91" i="4"/>
  <c r="I91" i="4"/>
  <c r="L91" i="4" s="1"/>
  <c r="M91" i="4" s="1"/>
  <c r="P90" i="4"/>
  <c r="J90" i="4"/>
  <c r="I90" i="4"/>
  <c r="L90" i="4" s="1"/>
  <c r="M90" i="4" s="1"/>
  <c r="P89" i="4"/>
  <c r="J89" i="4"/>
  <c r="I89" i="4"/>
  <c r="L89" i="4" s="1"/>
  <c r="M89" i="4" s="1"/>
  <c r="J88" i="4"/>
  <c r="P88" i="4" s="1"/>
  <c r="I88" i="4"/>
  <c r="L88" i="4" s="1"/>
  <c r="M88" i="4" s="1"/>
  <c r="P87" i="4"/>
  <c r="J87" i="4"/>
  <c r="I87" i="4"/>
  <c r="L87" i="4" s="1"/>
  <c r="M87" i="4" s="1"/>
  <c r="P86" i="4"/>
  <c r="J86" i="4"/>
  <c r="I86" i="4"/>
  <c r="J85" i="4"/>
  <c r="P85" i="4" s="1"/>
  <c r="I85" i="4"/>
  <c r="P84" i="4"/>
  <c r="J84" i="4"/>
  <c r="I84" i="4"/>
  <c r="L84" i="4" s="1"/>
  <c r="M84" i="4" s="1"/>
  <c r="P83" i="4"/>
  <c r="J83" i="4"/>
  <c r="I83" i="4"/>
  <c r="L83" i="4" s="1"/>
  <c r="M83" i="4" s="1"/>
  <c r="P82" i="4"/>
  <c r="J82" i="4"/>
  <c r="I82" i="4"/>
  <c r="L82" i="4" s="1"/>
  <c r="M82" i="4" s="1"/>
  <c r="P81" i="4"/>
  <c r="J81" i="4"/>
  <c r="I81" i="4"/>
  <c r="L81" i="4" s="1"/>
  <c r="M81" i="4" s="1"/>
  <c r="P80" i="4"/>
  <c r="J80" i="4"/>
  <c r="I80" i="4"/>
  <c r="L80" i="4" s="1"/>
  <c r="M80" i="4" s="1"/>
  <c r="P79" i="4"/>
  <c r="J79" i="4"/>
  <c r="I79" i="4"/>
  <c r="L79" i="4" s="1"/>
  <c r="M79" i="4" s="1"/>
  <c r="P78" i="4"/>
  <c r="J78" i="4"/>
  <c r="I78" i="4"/>
  <c r="L78" i="4" s="1"/>
  <c r="M78" i="4" s="1"/>
  <c r="P77" i="4"/>
  <c r="J77" i="4"/>
  <c r="I77" i="4"/>
  <c r="P76" i="4"/>
  <c r="J76" i="4"/>
  <c r="I76" i="4"/>
  <c r="L76" i="4" s="1"/>
  <c r="M76" i="4" s="1"/>
  <c r="P75" i="4"/>
  <c r="J75" i="4"/>
  <c r="I75" i="4"/>
  <c r="L75" i="4" s="1"/>
  <c r="M75" i="4" s="1"/>
  <c r="P74" i="4"/>
  <c r="J74" i="4"/>
  <c r="I74" i="4"/>
  <c r="L74" i="4" s="1"/>
  <c r="M74" i="4" s="1"/>
  <c r="P73" i="4"/>
  <c r="J73" i="4"/>
  <c r="I73" i="4"/>
  <c r="P72" i="4"/>
  <c r="J72" i="4"/>
  <c r="I72" i="4"/>
  <c r="L72" i="4" s="1"/>
  <c r="M72" i="4" s="1"/>
  <c r="P71" i="4"/>
  <c r="J71" i="4"/>
  <c r="I71" i="4"/>
  <c r="L71" i="4" s="1"/>
  <c r="M71" i="4" s="1"/>
  <c r="P70" i="4"/>
  <c r="J70" i="4"/>
  <c r="I70" i="4"/>
  <c r="L70" i="4" s="1"/>
  <c r="M70" i="4" s="1"/>
  <c r="P69" i="4"/>
  <c r="J69" i="4"/>
  <c r="I69" i="4"/>
  <c r="L69" i="4" s="1"/>
  <c r="M69" i="4" s="1"/>
  <c r="P68" i="4"/>
  <c r="J68" i="4"/>
  <c r="I68" i="4"/>
  <c r="L68" i="4" s="1"/>
  <c r="M68" i="4" s="1"/>
  <c r="P67" i="4"/>
  <c r="J67" i="4"/>
  <c r="I67" i="4"/>
  <c r="L67" i="4" s="1"/>
  <c r="M67" i="4" s="1"/>
  <c r="P66" i="4"/>
  <c r="J66" i="4"/>
  <c r="I66" i="4"/>
  <c r="L66" i="4" s="1"/>
  <c r="M66" i="4" s="1"/>
  <c r="P65" i="4"/>
  <c r="J65" i="4"/>
  <c r="I65" i="4"/>
  <c r="L65" i="4" s="1"/>
  <c r="M65" i="4" s="1"/>
  <c r="P64" i="4"/>
  <c r="J64" i="4"/>
  <c r="I64" i="4"/>
  <c r="L64" i="4" s="1"/>
  <c r="M64" i="4" s="1"/>
  <c r="P63" i="4"/>
  <c r="J63" i="4"/>
  <c r="I63" i="4"/>
  <c r="L63" i="4" s="1"/>
  <c r="M63" i="4" s="1"/>
  <c r="P62" i="4"/>
  <c r="J62" i="4"/>
  <c r="I62" i="4"/>
  <c r="P61" i="4"/>
  <c r="J61" i="4"/>
  <c r="I61" i="4"/>
  <c r="L61" i="4" s="1"/>
  <c r="M61" i="4" s="1"/>
  <c r="P60" i="4"/>
  <c r="J60" i="4"/>
  <c r="I60" i="4"/>
  <c r="L60" i="4" s="1"/>
  <c r="M60" i="4" s="1"/>
  <c r="P59" i="4"/>
  <c r="J59" i="4"/>
  <c r="I59" i="4"/>
  <c r="L59" i="4" s="1"/>
  <c r="M59" i="4" s="1"/>
  <c r="P58" i="4"/>
  <c r="J58" i="4"/>
  <c r="I58" i="4"/>
  <c r="L58" i="4" s="1"/>
  <c r="M58" i="4" s="1"/>
  <c r="P57" i="4"/>
  <c r="J57" i="4"/>
  <c r="I57" i="4"/>
  <c r="P56" i="4"/>
  <c r="J56" i="4"/>
  <c r="I56" i="4"/>
  <c r="P55" i="4"/>
  <c r="J55" i="4"/>
  <c r="I55" i="4"/>
  <c r="L55" i="4" s="1"/>
  <c r="M55" i="4" s="1"/>
  <c r="P54" i="4"/>
  <c r="J54" i="4"/>
  <c r="I54" i="4"/>
  <c r="L54" i="4" s="1"/>
  <c r="M54" i="4" s="1"/>
  <c r="P53" i="4"/>
  <c r="J53" i="4"/>
  <c r="I53" i="4"/>
  <c r="L53" i="4" s="1"/>
  <c r="M53" i="4" s="1"/>
  <c r="P52" i="4"/>
  <c r="J52" i="4"/>
  <c r="I52" i="4"/>
  <c r="L52" i="4" s="1"/>
  <c r="P51" i="4"/>
  <c r="J51" i="4"/>
  <c r="I51" i="4"/>
  <c r="L51" i="4" s="1"/>
  <c r="M51" i="4" s="1"/>
  <c r="P50" i="4"/>
  <c r="J50" i="4"/>
  <c r="I50" i="4"/>
  <c r="L50" i="4" s="1"/>
  <c r="M50" i="4" s="1"/>
  <c r="P49" i="4"/>
  <c r="J49" i="4"/>
  <c r="I49" i="4"/>
  <c r="L49" i="4" s="1"/>
  <c r="M49" i="4" s="1"/>
  <c r="P48" i="4"/>
  <c r="J48" i="4"/>
  <c r="I48" i="4"/>
  <c r="L48" i="4" s="1"/>
  <c r="M48" i="4" s="1"/>
  <c r="P47" i="4"/>
  <c r="J47" i="4"/>
  <c r="I47" i="4"/>
  <c r="L47" i="4" s="1"/>
  <c r="P46" i="4"/>
  <c r="J46" i="4"/>
  <c r="I46" i="4"/>
  <c r="L46" i="4" s="1"/>
  <c r="M46" i="4" s="1"/>
  <c r="P45" i="4"/>
  <c r="J45" i="4"/>
  <c r="I45" i="4"/>
  <c r="L45" i="4" s="1"/>
  <c r="M45" i="4" s="1"/>
  <c r="P44" i="4"/>
  <c r="J44" i="4"/>
  <c r="I44" i="4"/>
  <c r="L44" i="4" s="1"/>
  <c r="M44" i="4" s="1"/>
  <c r="P43" i="4"/>
  <c r="J43" i="4"/>
  <c r="I43" i="4"/>
  <c r="L43" i="4" s="1"/>
  <c r="M43" i="4" s="1"/>
  <c r="J42" i="4"/>
  <c r="P42" i="4" s="1"/>
  <c r="I42" i="4"/>
  <c r="L42" i="4" s="1"/>
  <c r="M42" i="4" s="1"/>
  <c r="J41" i="4"/>
  <c r="P41" i="4" s="1"/>
  <c r="I41" i="4"/>
  <c r="L41" i="4" s="1"/>
  <c r="M41" i="4" s="1"/>
  <c r="P40" i="4"/>
  <c r="J40" i="4"/>
  <c r="I40" i="4"/>
  <c r="L40" i="4" s="1"/>
  <c r="M40" i="4" s="1"/>
  <c r="P39" i="4"/>
  <c r="J39" i="4"/>
  <c r="I39" i="4"/>
  <c r="L39" i="4" s="1"/>
  <c r="M39" i="4" s="1"/>
  <c r="J38" i="4"/>
  <c r="P38" i="4" s="1"/>
  <c r="I38" i="4"/>
  <c r="L38" i="4" s="1"/>
  <c r="M38" i="4" s="1"/>
  <c r="P37" i="4"/>
  <c r="J37" i="4"/>
  <c r="I37" i="4"/>
  <c r="L37" i="4" s="1"/>
  <c r="M37" i="4" s="1"/>
  <c r="P36" i="4"/>
  <c r="J36" i="4"/>
  <c r="I36" i="4"/>
  <c r="L36" i="4" s="1"/>
  <c r="M36" i="4" s="1"/>
  <c r="P35" i="4"/>
  <c r="J35" i="4"/>
  <c r="I35" i="4"/>
  <c r="L35" i="4" s="1"/>
  <c r="P34" i="4"/>
  <c r="J34" i="4"/>
  <c r="I34" i="4"/>
  <c r="L34" i="4" s="1"/>
  <c r="M34" i="4" s="1"/>
  <c r="P33" i="4"/>
  <c r="J33" i="4"/>
  <c r="I33" i="4"/>
  <c r="L33" i="4" s="1"/>
  <c r="M33" i="4" s="1"/>
  <c r="P32" i="4"/>
  <c r="J32" i="4"/>
  <c r="I32" i="4"/>
  <c r="L32" i="4" s="1"/>
  <c r="M32" i="4" s="1"/>
  <c r="P31" i="4"/>
  <c r="J31" i="4"/>
  <c r="I31" i="4"/>
  <c r="L31" i="4" s="1"/>
  <c r="M31" i="4" s="1"/>
  <c r="P30" i="4"/>
  <c r="J30" i="4"/>
  <c r="I30" i="4"/>
  <c r="L30" i="4" s="1"/>
  <c r="M30" i="4" s="1"/>
  <c r="P29" i="4"/>
  <c r="J29" i="4"/>
  <c r="I29" i="4"/>
  <c r="L29" i="4" s="1"/>
  <c r="M29" i="4" s="1"/>
  <c r="P28" i="4"/>
  <c r="J28" i="4"/>
  <c r="I28" i="4"/>
  <c r="L28" i="4" s="1"/>
  <c r="M28" i="4" s="1"/>
  <c r="P27" i="4"/>
  <c r="J27" i="4"/>
  <c r="I27" i="4"/>
  <c r="L27" i="4" s="1"/>
  <c r="M27" i="4" s="1"/>
  <c r="P26" i="4"/>
  <c r="J26" i="4"/>
  <c r="I26" i="4"/>
  <c r="L26" i="4" s="1"/>
  <c r="M26" i="4" s="1"/>
  <c r="P25" i="4"/>
  <c r="J25" i="4"/>
  <c r="I25" i="4"/>
  <c r="L25" i="4" s="1"/>
  <c r="M25" i="4" s="1"/>
  <c r="P24" i="4"/>
  <c r="J24" i="4"/>
  <c r="I24" i="4"/>
  <c r="P23" i="4"/>
  <c r="J23" i="4"/>
  <c r="I23" i="4"/>
  <c r="L23" i="4" s="1"/>
  <c r="M23" i="4" s="1"/>
  <c r="P22" i="4"/>
  <c r="J22" i="4"/>
  <c r="I22" i="4"/>
  <c r="L22" i="4" s="1"/>
  <c r="M22" i="4" s="1"/>
  <c r="P21" i="4"/>
  <c r="J21" i="4"/>
  <c r="I21" i="4"/>
  <c r="P20" i="4"/>
  <c r="J20" i="4"/>
  <c r="I20" i="4"/>
  <c r="L20" i="4" s="1"/>
  <c r="M20" i="4" s="1"/>
  <c r="P19" i="4"/>
  <c r="J19" i="4"/>
  <c r="I19" i="4"/>
  <c r="L19" i="4" s="1"/>
  <c r="M19" i="4" s="1"/>
  <c r="P18" i="4"/>
  <c r="J18" i="4"/>
  <c r="I18" i="4"/>
  <c r="L18" i="4" s="1"/>
  <c r="M18" i="4" s="1"/>
  <c r="P17" i="4"/>
  <c r="J17" i="4"/>
  <c r="I17" i="4"/>
  <c r="L17" i="4" s="1"/>
  <c r="M17" i="4" s="1"/>
  <c r="P16" i="4"/>
  <c r="J16" i="4"/>
  <c r="I16" i="4"/>
  <c r="L16" i="4" s="1"/>
  <c r="M16" i="4" s="1"/>
  <c r="P15" i="4"/>
  <c r="J15" i="4"/>
  <c r="I15" i="4"/>
  <c r="L15" i="4" s="1"/>
  <c r="M15" i="4" s="1"/>
  <c r="P14" i="4"/>
  <c r="J14" i="4"/>
  <c r="I14" i="4"/>
  <c r="L14" i="4" s="1"/>
  <c r="M14" i="4" s="1"/>
  <c r="P13" i="4"/>
  <c r="J13" i="4"/>
  <c r="I13" i="4"/>
  <c r="P12" i="4"/>
  <c r="J12" i="4"/>
  <c r="I12" i="4"/>
  <c r="L12" i="4" s="1"/>
  <c r="M12" i="4" s="1"/>
  <c r="P11" i="4"/>
  <c r="J11" i="4"/>
  <c r="I11" i="4"/>
  <c r="L11" i="4" s="1"/>
  <c r="M11" i="4" s="1"/>
  <c r="P10" i="4"/>
  <c r="J10" i="4"/>
  <c r="I10" i="4"/>
  <c r="L10" i="4" s="1"/>
  <c r="M10" i="4" s="1"/>
  <c r="P9" i="4"/>
  <c r="J9" i="4"/>
  <c r="I9" i="4"/>
  <c r="L9" i="4" s="1"/>
  <c r="M9" i="4" s="1"/>
  <c r="P8" i="4"/>
  <c r="J8" i="4"/>
  <c r="I8" i="4"/>
  <c r="L8" i="4" s="1"/>
  <c r="M8" i="4" s="1"/>
  <c r="P7" i="4"/>
  <c r="J7" i="4"/>
  <c r="I7" i="4"/>
  <c r="L7" i="4" s="1"/>
  <c r="M7" i="4" s="1"/>
  <c r="P6" i="4"/>
  <c r="J6" i="4"/>
  <c r="I6" i="4"/>
  <c r="P5" i="4"/>
  <c r="J5" i="4"/>
  <c r="I5" i="4"/>
  <c r="P4" i="4"/>
  <c r="J4" i="4"/>
  <c r="I4" i="4"/>
  <c r="L4" i="4" s="1"/>
  <c r="K14" i="3"/>
  <c r="J14" i="3"/>
  <c r="I14" i="3"/>
  <c r="F14" i="3"/>
  <c r="E14" i="3"/>
  <c r="D14" i="3"/>
  <c r="C14" i="3"/>
  <c r="K13" i="3"/>
  <c r="J13" i="3"/>
  <c r="I13" i="3"/>
  <c r="F13" i="3"/>
  <c r="E13" i="3"/>
  <c r="D13" i="3"/>
  <c r="C13" i="3"/>
  <c r="K12" i="3"/>
  <c r="J12" i="3"/>
  <c r="I12" i="3"/>
  <c r="F12" i="3"/>
  <c r="E12" i="3"/>
  <c r="D12" i="3"/>
  <c r="C12" i="3"/>
  <c r="L11" i="3"/>
  <c r="G11" i="3"/>
  <c r="L10" i="3"/>
  <c r="G10" i="3"/>
  <c r="L9" i="3"/>
  <c r="G9" i="3"/>
  <c r="L8" i="3"/>
  <c r="G8" i="3"/>
  <c r="L7" i="3"/>
  <c r="G7" i="3"/>
  <c r="L6" i="3"/>
  <c r="G6" i="3"/>
  <c r="L5" i="3"/>
  <c r="G5" i="3"/>
  <c r="L4" i="3"/>
  <c r="G4" i="3"/>
  <c r="U2" i="3"/>
  <c r="I35" i="2"/>
  <c r="J35" i="2" s="1"/>
  <c r="J40" i="2" s="1"/>
  <c r="H33" i="2"/>
  <c r="I33" i="2" s="1"/>
  <c r="J33" i="2" s="1"/>
  <c r="H32" i="2"/>
  <c r="I32" i="2" s="1"/>
  <c r="J32" i="2" s="1"/>
  <c r="H31" i="2"/>
  <c r="I31" i="2" s="1"/>
  <c r="J31" i="2" s="1"/>
  <c r="H30" i="2"/>
  <c r="I30" i="2" s="1"/>
  <c r="J30" i="2" s="1"/>
  <c r="H29" i="2"/>
  <c r="I29" i="2" s="1"/>
  <c r="J29" i="2" s="1"/>
  <c r="H28" i="2"/>
  <c r="I28" i="2" s="1"/>
  <c r="J28" i="2" s="1"/>
  <c r="H27" i="2"/>
  <c r="I27" i="2" s="1"/>
  <c r="J27" i="2" s="1"/>
  <c r="H26" i="2"/>
  <c r="I26" i="2" s="1"/>
  <c r="J26" i="2" s="1"/>
  <c r="H25" i="2"/>
  <c r="I25" i="2" s="1"/>
  <c r="J25" i="2" s="1"/>
  <c r="H24" i="2"/>
  <c r="I24" i="2" s="1"/>
  <c r="J24" i="2" s="1"/>
  <c r="H23" i="2"/>
  <c r="I23" i="2" s="1"/>
  <c r="J23" i="2" s="1"/>
  <c r="H22" i="2"/>
  <c r="I22" i="2" s="1"/>
  <c r="J22" i="2" s="1"/>
  <c r="H21" i="2"/>
  <c r="I21" i="2" s="1"/>
  <c r="J21" i="2" s="1"/>
  <c r="H20" i="2"/>
  <c r="I20" i="2" s="1"/>
  <c r="J20" i="2" s="1"/>
  <c r="H19" i="2"/>
  <c r="I19" i="2" s="1"/>
  <c r="J19" i="2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J39" i="2" s="1"/>
  <c r="H11" i="2"/>
  <c r="I11" i="2" s="1"/>
  <c r="J11" i="2" s="1"/>
  <c r="H10" i="2"/>
  <c r="I10" i="2" s="1"/>
  <c r="J10" i="2" s="1"/>
  <c r="H9" i="2"/>
  <c r="I9" i="2" s="1"/>
  <c r="J9" i="2" s="1"/>
  <c r="H8" i="2"/>
  <c r="I8" i="2" s="1"/>
  <c r="J8" i="2" s="1"/>
  <c r="H7" i="2"/>
  <c r="I7" i="2" s="1"/>
  <c r="J7" i="2" s="1"/>
  <c r="H6" i="2"/>
  <c r="I6" i="2" s="1"/>
  <c r="J6" i="2" s="1"/>
  <c r="B27" i="1"/>
  <c r="B26" i="1"/>
  <c r="B25" i="1"/>
  <c r="C20" i="1"/>
  <c r="B20" i="1"/>
  <c r="D19" i="1"/>
  <c r="D18" i="1"/>
  <c r="C13" i="1"/>
  <c r="B13" i="1"/>
  <c r="C12" i="1"/>
  <c r="B12" i="1"/>
  <c r="C11" i="1"/>
  <c r="B11" i="1"/>
  <c r="B14" i="1" s="1"/>
  <c r="K105" i="6" l="1"/>
  <c r="K104" i="6"/>
  <c r="K103" i="6"/>
  <c r="K102" i="6"/>
  <c r="K101" i="6"/>
  <c r="K100" i="6"/>
  <c r="K99" i="6"/>
  <c r="K98" i="6"/>
  <c r="K96" i="6"/>
  <c r="K93" i="6"/>
  <c r="K92" i="6"/>
  <c r="K65" i="6"/>
  <c r="K64" i="6"/>
  <c r="K63" i="6"/>
  <c r="K62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I106" i="6"/>
  <c r="K95" i="6"/>
  <c r="K91" i="6"/>
  <c r="K90" i="6"/>
  <c r="K89" i="6"/>
  <c r="K88" i="6"/>
  <c r="K85" i="6"/>
  <c r="K83" i="6"/>
  <c r="K82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114" i="5"/>
  <c r="K112" i="5"/>
  <c r="K106" i="5"/>
  <c r="K97" i="5"/>
  <c r="K96" i="5"/>
  <c r="K94" i="5"/>
  <c r="K92" i="5"/>
  <c r="K82" i="5"/>
  <c r="K78" i="5"/>
  <c r="K77" i="5"/>
  <c r="K75" i="5"/>
  <c r="K73" i="5"/>
  <c r="K71" i="5"/>
  <c r="K69" i="5"/>
  <c r="K67" i="5"/>
  <c r="K66" i="5"/>
  <c r="K60" i="5"/>
  <c r="K40" i="5"/>
  <c r="K115" i="5"/>
  <c r="K110" i="5"/>
  <c r="K109" i="5"/>
  <c r="K108" i="5"/>
  <c r="K104" i="5"/>
  <c r="K102" i="5"/>
  <c r="K100" i="5"/>
  <c r="K99" i="5"/>
  <c r="K90" i="5"/>
  <c r="K88" i="5"/>
  <c r="K86" i="5"/>
  <c r="K85" i="5"/>
  <c r="K80" i="5"/>
  <c r="K70" i="5"/>
  <c r="K53" i="5"/>
  <c r="K16" i="5"/>
  <c r="K68" i="5"/>
  <c r="K63" i="5"/>
  <c r="K61" i="5"/>
  <c r="K58" i="5"/>
  <c r="K57" i="5"/>
  <c r="K56" i="5"/>
  <c r="K55" i="5"/>
  <c r="K52" i="5"/>
  <c r="K51" i="5"/>
  <c r="K50" i="5"/>
  <c r="K48" i="5"/>
  <c r="K47" i="5"/>
  <c r="K46" i="5"/>
  <c r="K44" i="5"/>
  <c r="K43" i="5"/>
  <c r="K42" i="5"/>
  <c r="K39" i="5"/>
  <c r="K38" i="5"/>
  <c r="K37" i="5"/>
  <c r="K35" i="5"/>
  <c r="K29" i="5"/>
  <c r="K28" i="5"/>
  <c r="K27" i="5"/>
  <c r="K26" i="5"/>
  <c r="K22" i="5"/>
  <c r="K21" i="5"/>
  <c r="K20" i="5"/>
  <c r="K19" i="5"/>
  <c r="K18" i="5"/>
  <c r="K10" i="5"/>
  <c r="K7" i="5"/>
  <c r="K6" i="5"/>
  <c r="K5" i="5"/>
  <c r="L238" i="4"/>
  <c r="M238" i="4" s="1"/>
  <c r="L223" i="4"/>
  <c r="M223" i="4" s="1"/>
  <c r="L219" i="4"/>
  <c r="M219" i="4" s="1"/>
  <c r="L200" i="4"/>
  <c r="M200" i="4" s="1"/>
  <c r="L182" i="4"/>
  <c r="M182" i="4" s="1"/>
  <c r="L100" i="4"/>
  <c r="M100" i="4" s="1"/>
  <c r="L86" i="4"/>
  <c r="M86" i="4" s="1"/>
  <c r="L77" i="4"/>
  <c r="M77" i="4" s="1"/>
  <c r="L24" i="4"/>
  <c r="M24" i="4" s="1"/>
  <c r="L13" i="4"/>
  <c r="M13" i="4" s="1"/>
  <c r="L85" i="4"/>
  <c r="M85" i="4" s="1"/>
  <c r="L73" i="4"/>
  <c r="M73" i="4" s="1"/>
  <c r="L62" i="4"/>
  <c r="M62" i="4" s="1"/>
  <c r="L57" i="4"/>
  <c r="M57" i="4" s="1"/>
  <c r="L56" i="4"/>
  <c r="M56" i="4" s="1"/>
  <c r="L21" i="4"/>
  <c r="M21" i="4" s="1"/>
  <c r="D13" i="1"/>
  <c r="D12" i="1"/>
  <c r="D20" i="1"/>
  <c r="K4" i="6"/>
  <c r="J106" i="6"/>
  <c r="K4" i="5"/>
  <c r="K117" i="5" s="1"/>
  <c r="J117" i="5"/>
  <c r="O11" i="3"/>
  <c r="M254" i="4"/>
  <c r="M221" i="4"/>
  <c r="O10" i="3"/>
  <c r="M189" i="4"/>
  <c r="O9" i="3"/>
  <c r="O8" i="3"/>
  <c r="M169" i="4"/>
  <c r="M147" i="4"/>
  <c r="O7" i="3"/>
  <c r="M99" i="4"/>
  <c r="O4" i="3"/>
  <c r="M52" i="4"/>
  <c r="O5" i="3"/>
  <c r="M47" i="4"/>
  <c r="C27" i="1"/>
  <c r="D27" i="1" s="1"/>
  <c r="M35" i="4"/>
  <c r="C26" i="1"/>
  <c r="D26" i="1" s="1"/>
  <c r="I266" i="4"/>
  <c r="L6" i="4"/>
  <c r="M6" i="4" s="1"/>
  <c r="J266" i="4"/>
  <c r="L5" i="4"/>
  <c r="M5" i="4" s="1"/>
  <c r="M4" i="4"/>
  <c r="M266" i="4" s="1"/>
  <c r="C25" i="1"/>
  <c r="D25" i="1" s="1"/>
  <c r="L266" i="4"/>
  <c r="B33" i="1" s="1"/>
  <c r="O6" i="3"/>
  <c r="H11" i="3"/>
  <c r="M11" i="3" s="1"/>
  <c r="N11" i="3" s="1"/>
  <c r="H10" i="3"/>
  <c r="M10" i="3" s="1"/>
  <c r="N10" i="3" s="1"/>
  <c r="H9" i="3"/>
  <c r="M9" i="3" s="1"/>
  <c r="N9" i="3" s="1"/>
  <c r="H8" i="3"/>
  <c r="M8" i="3" s="1"/>
  <c r="N8" i="3" s="1"/>
  <c r="L13" i="3"/>
  <c r="C6" i="1" s="1"/>
  <c r="H7" i="3"/>
  <c r="M7" i="3" s="1"/>
  <c r="G13" i="3"/>
  <c r="H6" i="3"/>
  <c r="M6" i="3" s="1"/>
  <c r="N6" i="3" s="1"/>
  <c r="H5" i="3"/>
  <c r="M5" i="3" s="1"/>
  <c r="N5" i="3" s="1"/>
  <c r="L14" i="3"/>
  <c r="C7" i="1" s="1"/>
  <c r="L12" i="3"/>
  <c r="C5" i="1" s="1"/>
  <c r="H4" i="3"/>
  <c r="M4" i="3" s="1"/>
  <c r="G14" i="3"/>
  <c r="G12" i="3"/>
  <c r="J42" i="2"/>
  <c r="J44" i="2" s="1"/>
  <c r="J47" i="2" s="1"/>
  <c r="J38" i="2"/>
  <c r="J41" i="2" s="1"/>
  <c r="J43" i="2" s="1"/>
  <c r="J46" i="2" s="1"/>
  <c r="B28" i="1"/>
  <c r="B29" i="1"/>
  <c r="C14" i="1"/>
  <c r="D14" i="1" s="1"/>
  <c r="D11" i="1"/>
  <c r="P266" i="4"/>
  <c r="B35" i="1" s="1"/>
  <c r="K106" i="6" l="1"/>
  <c r="O12" i="3"/>
  <c r="R12" i="3" s="1"/>
  <c r="O14" i="3"/>
  <c r="R14" i="3" s="1"/>
  <c r="C28" i="1"/>
  <c r="C29" i="1"/>
  <c r="D29" i="1" s="1"/>
  <c r="E29" i="1" s="1"/>
  <c r="M13" i="3"/>
  <c r="N13" i="3" s="1"/>
  <c r="N7" i="3"/>
  <c r="N4" i="3"/>
  <c r="M12" i="3"/>
  <c r="M14" i="3"/>
  <c r="H12" i="3"/>
  <c r="B5" i="1" s="1"/>
  <c r="D5" i="1" s="1"/>
  <c r="E5" i="1" s="1"/>
  <c r="H14" i="3"/>
  <c r="B7" i="1" s="1"/>
  <c r="D7" i="1" s="1"/>
  <c r="E7" i="1" s="1"/>
  <c r="B32" i="1"/>
  <c r="B34" i="1" s="1"/>
  <c r="E25" i="1"/>
  <c r="F25" i="1"/>
  <c r="D28" i="1"/>
  <c r="E28" i="1" s="1"/>
  <c r="O13" i="3"/>
  <c r="R13" i="3" s="1"/>
  <c r="H13" i="3"/>
  <c r="B6" i="1" s="1"/>
  <c r="D6" i="1" s="1"/>
  <c r="E6" i="1" s="1"/>
  <c r="P11" i="3"/>
  <c r="Q11" i="3" s="1"/>
  <c r="R11" i="3"/>
  <c r="P10" i="3"/>
  <c r="Q10" i="3" s="1"/>
  <c r="R10" i="3"/>
  <c r="P9" i="3"/>
  <c r="Q9" i="3" s="1"/>
  <c r="R9" i="3"/>
  <c r="P8" i="3"/>
  <c r="Q8" i="3" s="1"/>
  <c r="R8" i="3"/>
  <c r="P7" i="3"/>
  <c r="R7" i="3"/>
  <c r="P4" i="3"/>
  <c r="R4" i="3"/>
  <c r="P5" i="3"/>
  <c r="Q5" i="3" s="1"/>
  <c r="R5" i="3"/>
  <c r="E27" i="1"/>
  <c r="F27" i="1"/>
  <c r="G27" i="1" s="1"/>
  <c r="F26" i="1"/>
  <c r="G26" i="1" s="1"/>
  <c r="E26" i="1"/>
  <c r="P6" i="3"/>
  <c r="Q6" i="3" s="1"/>
  <c r="R6" i="3"/>
  <c r="G25" i="1" l="1"/>
  <c r="F28" i="1"/>
  <c r="G28" i="1" s="1"/>
  <c r="F29" i="1"/>
  <c r="G29" i="1" s="1"/>
  <c r="P13" i="3"/>
  <c r="Q13" i="3" s="1"/>
  <c r="Q7" i="3"/>
  <c r="P14" i="3"/>
  <c r="Q14" i="3" s="1"/>
  <c r="P12" i="3"/>
  <c r="Q12" i="3" s="1"/>
  <c r="Q4" i="3"/>
  <c r="N12" i="3"/>
  <c r="N14" i="3"/>
</calcChain>
</file>

<file path=xl/sharedStrings.xml><?xml version="1.0" encoding="utf-8"?>
<sst xmlns="http://schemas.openxmlformats.org/spreadsheetml/2006/main" count="2586" uniqueCount="306">
  <si>
    <t>ĐÁNH GIÁ TOÀN GÓI PCCC CÁC TRƯỜNG – PHƯỜNG ĐỒNG SƠN</t>
  </si>
  <si>
    <t>A. TỔNG GIÁ TRỊ XÂY LẮP + THIẾT BỊ</t>
  </si>
  <si>
    <t>Phần</t>
  </si>
  <si>
    <t>Tiên lượng</t>
  </si>
  <si>
    <t>Bộ dự toán</t>
  </si>
  <si>
    <t>Chênh (DT − tiên lượng)</t>
  </si>
  <si>
    <t>%</t>
  </si>
  <si>
    <t>Mầm non (3 trường)</t>
  </si>
  <si>
    <t>Tiểu học – THCS (5 trường)</t>
  </si>
  <si>
    <t>TOÀN GÓI (8 trường)</t>
  </si>
  <si>
    <t>B. TÁCH THEO PHẦN VIỆC (toàn gói)</t>
  </si>
  <si>
    <t>Phần việc</t>
  </si>
  <si>
    <t>Ghi chú</t>
  </si>
  <si>
    <t>Lắp đặt PCCC (gồm vật tư phụ 5%, NC lắp bơm)</t>
  </si>
  <si>
    <t>Dự toán thấp hơn: đơn giá ống thép, đầu báo khói, tủ CC, họng, rơ le... thấp hơn tiên lượng</t>
  </si>
  <si>
    <t>Thiết bị (máy bơm, bình, kệ, nội quy, sơ đồ)</t>
  </si>
  <si>
    <t>Máy bơm trong sheet tb mầm non 13 / 20,1 tr – thấp hơn cả giá vốn Sao Việt (15,4 / 27,72 tr)</t>
  </si>
  <si>
    <t>Xây dựng (bể, phòng bơm, cầu thang, đào đắp)</t>
  </si>
  <si>
    <t>Dự toán cao hơn: tính đủ đào rãnh, đắp cát lót ống, cầu thang sắt, phòng bơm chi tiết</t>
  </si>
  <si>
    <t>Cộng</t>
  </si>
  <si>
    <t>C. TỔNG DỰ TOÁN (đã gồm VAT, QLDA, tư vấn, chi phí khác, dự phòng)</t>
  </si>
  <si>
    <t>Tiên lượng (THDT 001/002)</t>
  </si>
  <si>
    <t>Dự toán (sheet TH file Tổng hợp)</t>
  </si>
  <si>
    <t>Chênh</t>
  </si>
  <si>
    <t>Mầm non</t>
  </si>
  <si>
    <t>Tiên lượng không có dự phòng; DT có dự phòng 80,9 tr</t>
  </si>
  <si>
    <t>Tiểu học – THCS</t>
  </si>
  <si>
    <t>Tiên lượng không có dự phòng; DT có dự phòng 98,3 tr</t>
  </si>
  <si>
    <t>D. LỢI NHUẬN THEO GIÁ VỐN THỰC (báo giá Sao Việt 01/10/2026 + giá vốn nhập trong sheet ĐƠN GIÁ của 001/002)</t>
  </si>
  <si>
    <t>Chi phí chung + lán trại thực tế của nhà thầu (% trên giá vốn) – sửa được</t>
  </si>
  <si>
    <t>Mặc định 7,3% chi phí chung + 1,1% lán trại. Thiết bị không tính khoản này</t>
  </si>
  <si>
    <t>Dự toán (doanh thu, trước thuế)</t>
  </si>
  <si>
    <t>Giá vốn (VL + NC)</t>
  </si>
  <si>
    <t>Lợi nhuận gộp</t>
  </si>
  <si>
    <t>% LN gộp / DT</t>
  </si>
  <si>
    <t>LN sau chi phí chung</t>
  </si>
  <si>
    <t>% LN sau CPC / DT</t>
  </si>
  <si>
    <t>Lắp đặt PCCC (gồm vật tư phụ, NC lắp bơm)</t>
  </si>
  <si>
    <t>Xây dựng (DT: file Xây lắp; giá vốn: theo khối lượng tiên lượng)</t>
  </si>
  <si>
    <t>TOÀN GÓI</t>
  </si>
  <si>
    <t>Kịch bản thận trọng: phần xây dựng chỉ hòa vốn (chi phí thực bằng dự toán xây lắp)</t>
  </si>
  <si>
    <t>Tham chiếu</t>
  </si>
  <si>
    <t>Chi phí trực tiếp T trong tiên lượng 001/002</t>
  </si>
  <si>
    <t xml:space="preserve">   → tiên lượng cao hơn giá vốn</t>
  </si>
  <si>
    <t>Trong giá vốn có phần tạm tính (ô ĐƠN GIÁ còn trống, lấy tiên lượng ÷ 1,3)</t>
  </si>
  <si>
    <t>ĐỀ XUẤT CHỈNH ĐƠN GIÁ DỰ TOÁN – đưa các mục đang thấp hơn giá vốn thực lên ít nhất bằng giá vốn</t>
  </si>
  <si>
    <t>Hệ số VL → Gxd trước thuế</t>
  </si>
  <si>
    <t>Hệ số trước thuế → TDT (ước)</t>
  </si>
  <si>
    <t>STT</t>
  </si>
  <si>
    <t>Mục</t>
  </si>
  <si>
    <t>ĐVT</t>
  </si>
  <si>
    <t>KL</t>
  </si>
  <si>
    <t>Giá DT hiện tại</t>
  </si>
  <si>
    <t>Giá đề xuất</t>
  </si>
  <si>
    <t>Tăng/giảm chi phí trực tiếp</t>
  </si>
  <si>
    <t>Quy ra trước thuế</t>
  </si>
  <si>
    <t>Ưu tiên</t>
  </si>
  <si>
    <t>A. THIẾT BỊ (chi phí thiết bị – sheet tb của file Tổng hợp)</t>
  </si>
  <si>
    <t>Máy bơm chữa cháy động cơ diesel Q=45m3/h H=40m</t>
  </si>
  <si>
    <t>máy</t>
  </si>
  <si>
    <t>Báo giá Sao Việt</t>
  </si>
  <si>
    <t>Như trên</t>
  </si>
  <si>
    <t>Sơ đồ chỉ dẫn thoát hiểm 400x600</t>
  </si>
  <si>
    <t>TH-THCS</t>
  </si>
  <si>
    <t>cái</t>
  </si>
  <si>
    <t>Máy bơm chữa cháy động cơ điện Q=45m3/h H=40m</t>
  </si>
  <si>
    <t>Sheet tb file Tổng hợp mầm non</t>
  </si>
  <si>
    <t>Bình bột ABC 8kg</t>
  </si>
  <si>
    <t>bình</t>
  </si>
  <si>
    <t>Kệ đỡ bình chữa cháy</t>
  </si>
  <si>
    <t>B. VẬT TƯ LẮP ĐẶT (chi phí xây dựng – sheet Giá tháng của file PCCC)</t>
  </si>
  <si>
    <t>Cáp nguồn trạm bơm 3x10+1x6</t>
  </si>
  <si>
    <t>m</t>
  </si>
  <si>
    <t>DT đang có báo giá Cadivi</t>
  </si>
  <si>
    <t>Ống thép tráng kẽm DN50</t>
  </si>
  <si>
    <t>Ống thép tráng kẽm DN65</t>
  </si>
  <si>
    <t>Giá tháng DT không ghi nguồn</t>
  </si>
  <si>
    <t>Đèn báo phòng</t>
  </si>
  <si>
    <t>bộ</t>
  </si>
  <si>
    <t>Rơ le kiểm tra mực nước</t>
  </si>
  <si>
    <t>Cuộn vòi D50 20m + lăng phun</t>
  </si>
  <si>
    <t>DT: vòi 480.000 + lăng 80.000</t>
  </si>
  <si>
    <t>Tủ chữa cháy 400x600x200</t>
  </si>
  <si>
    <t>Trung tâm báo cháy 8 kênh</t>
  </si>
  <si>
    <t>Ống nhựa PVC D25</t>
  </si>
  <si>
    <t>Họng tiếp nước 2 cửa</t>
  </si>
  <si>
    <t>DT ghi nguồn link thietbi114.vn</t>
  </si>
  <si>
    <t>Ống nhựa xoắn HDPE 40/30</t>
  </si>
  <si>
    <t>DT theo CBG</t>
  </si>
  <si>
    <t>Đồng hồ áp suất (MN Nghĩa Ninh, Thuận Đức)</t>
  </si>
  <si>
    <t>MN Đồng Sơn đang để 600.000</t>
  </si>
  <si>
    <t>Trung tâm báo cháy 5 kênh</t>
  </si>
  <si>
    <t>C. SỬA LỖI (làm giảm)</t>
  </si>
  <si>
    <t>Co thép đen hàn DN65 (mầm non, đang 650.000)</t>
  </si>
  <si>
    <t>Lỗi nhập liệu – đưa về 65.000 như dự toán TH-THCS. Thẩm tra chắc chắn cắt</t>
  </si>
  <si>
    <t>TỔNG HỢP</t>
  </si>
  <si>
    <t>A. Thiết bị – tăng</t>
  </si>
  <si>
    <t>B. Vật tư lắp đặt – tăng (trước thuế)</t>
  </si>
  <si>
    <t>C. Sửa lỗi – giảm (trước thuế)</t>
  </si>
  <si>
    <t>Cộng tăng thêm (trước thuế)</t>
  </si>
  <si>
    <t xml:space="preserve">   trong đó chỉ làm các mục ưu tiên 1</t>
  </si>
  <si>
    <t>Tổng dự toán tăng thêm nếu chỉnh tất cả (ước, gồm VAT, QLDA, tư vấn, dự phòng)</t>
  </si>
  <si>
    <t>Tổng dự toán tăng thêm nếu chỉ làm ưu tiên 1 (ước)</t>
  </si>
  <si>
    <t>Tổng dự toán hiện tại (mầm non 1.699 tỷ + TH-THCS 2.064 tỷ)</t>
  </si>
  <si>
    <t>Tổng dự toán sau khi chỉnh tất cả (ước)</t>
  </si>
  <si>
    <t>Tổng dự toán nếu chỉ làm ưu tiên 1 (ước)</t>
  </si>
  <si>
    <t>TOÀN GÓI PCCC PHƯỜNG ĐỒNG SƠN – TỪNG TRƯỜNG: TIÊN LƯỢNG (001, 002) vs BỘ DỰ TOÁN PHẦN MỀM</t>
  </si>
  <si>
    <t>Hệ số tiên lượng</t>
  </si>
  <si>
    <t>Gói</t>
  </si>
  <si>
    <t>Trường</t>
  </si>
  <si>
    <t>Tiên lượng – PCCC (T)</t>
  </si>
  <si>
    <t>Tiên lượng – thiết bị (T)</t>
  </si>
  <si>
    <t>Tiên lượng – vật tư phụ (T)</t>
  </si>
  <si>
    <t>Tiên lượng – xây dựng (T)</t>
  </si>
  <si>
    <t>Tiên lượng – cộng T</t>
  </si>
  <si>
    <t>Tiên lượng – trước thuế</t>
  </si>
  <si>
    <t>DT – PCCC</t>
  </si>
  <si>
    <t>DT – Xây lắp</t>
  </si>
  <si>
    <t>DT – thiết bị</t>
  </si>
  <si>
    <t>DT – cộng</t>
  </si>
  <si>
    <t>Lợi nhuận gộp (DT − giá vốn)</t>
  </si>
  <si>
    <t>Tiên lượng (T) cao hơn giá vốn</t>
  </si>
  <si>
    <t>MN Đồng Sơn</t>
  </si>
  <si>
    <t>MN Nghĩa Ninh</t>
  </si>
  <si>
    <t>MN Thuận Đức</t>
  </si>
  <si>
    <t>Tiểu học - THCS</t>
  </si>
  <si>
    <t>TH số 1 Đồng Sơn</t>
  </si>
  <si>
    <t>TH số 2 Đồng Sơn</t>
  </si>
  <si>
    <t>THCS số 1 Đồng Sơn</t>
  </si>
  <si>
    <t>TH Nghĩa Ninh</t>
  </si>
  <si>
    <t>THCS Bắc Nghĩa</t>
  </si>
  <si>
    <t>Cộng mầm non</t>
  </si>
  <si>
    <t>Cộng tiểu học - thcs</t>
  </si>
  <si>
    <t>GIÁ VỐN TỪNG HẠNG MỤC – 8 TRƯỜNG (khối lượng theo tiên lượng 001/002, đơn giá vốn theo cột G, H sheet ĐƠN GIÁ)</t>
  </si>
  <si>
    <t>Hạng mục</t>
  </si>
  <si>
    <t>Nhóm</t>
  </si>
  <si>
    <t>Giá vốn VL</t>
  </si>
  <si>
    <t>Giá vốn NC</t>
  </si>
  <si>
    <t>Thành tiền VL</t>
  </si>
  <si>
    <t>Thành tiền NC</t>
  </si>
  <si>
    <t>Tiên lượng (thành tiền)</t>
  </si>
  <si>
    <t>Cộng giá vốn</t>
  </si>
  <si>
    <t>Tiên lượng − giá vốn</t>
  </si>
  <si>
    <t>Nguồn giá vốn VL</t>
  </si>
  <si>
    <t>Nguồn giá vốn NC</t>
  </si>
  <si>
    <t>Phần tạm tính</t>
  </si>
  <si>
    <t>Trung tâm báo cháy 8 kênh bao gồm Acquy</t>
  </si>
  <si>
    <t>Lắp đặt PCCC</t>
  </si>
  <si>
    <t>Nhập trong ĐƠN GIÁ</t>
  </si>
  <si>
    <t>Còi đèn báo cháy kết hợp</t>
  </si>
  <si>
    <t>Nút ấn khẩn tròn lắp nổi</t>
  </si>
  <si>
    <t>Đầu báo khói quang 24VDC</t>
  </si>
  <si>
    <t>Đầu báo nhiệt cố định 70 độ C</t>
  </si>
  <si>
    <t>Cáp tín hiệu 2x2x0,5mm2</t>
  </si>
  <si>
    <t>Cáp chống cháy chống nhiễu 2x1.5 mm2</t>
  </si>
  <si>
    <t>Ống luồn dây PVC D20</t>
  </si>
  <si>
    <t>Hệ thống tiếp địa trung tâm báo cháy</t>
  </si>
  <si>
    <t>ht</t>
  </si>
  <si>
    <t>Vật tư phụ</t>
  </si>
  <si>
    <t>lô</t>
  </si>
  <si>
    <t>5% × giá vốn các dòng 6–15</t>
  </si>
  <si>
    <t>Họng tiếp nước ngoài nhà 2 cửa - Ngàm nhôm</t>
  </si>
  <si>
    <t>Co thép đen hàn DN65</t>
  </si>
  <si>
    <t>Co thép đen hàn DN50</t>
  </si>
  <si>
    <t>Tê thép đen hàn DN65</t>
  </si>
  <si>
    <t>Tê thép hàn tráng kẽm DN50</t>
  </si>
  <si>
    <t>Mặt bích thép đen DN65 + bulong + roăng su</t>
  </si>
  <si>
    <t>Ống nhựa DK 25mm</t>
  </si>
  <si>
    <t>Van bướm lá van inox tay gạt DN65</t>
  </si>
  <si>
    <t>Van 1 chiều cánh cao su DN65</t>
  </si>
  <si>
    <t>Y lọc nối bích DN65.</t>
  </si>
  <si>
    <t>Nối mềm nối bích DN65</t>
  </si>
  <si>
    <t>Đồng hồ áp xuất kèm xi phông, van khóa và socket</t>
  </si>
  <si>
    <t>Van hút DN65</t>
  </si>
  <si>
    <t>Van cửa đồng DN25</t>
  </si>
  <si>
    <t>Tủ điều khiển máy bơm</t>
  </si>
  <si>
    <t>tủ</t>
  </si>
  <si>
    <t>Máy bơm chữa cháy động cơ điện Q: 45m3/h - H: 40m.c.n – giá máy</t>
  </si>
  <si>
    <t>Thiết bị</t>
  </si>
  <si>
    <t>Máy bơm chữa cháy động cơ điện Q: 45m3/h - H: 40m.c.n – nhân công lắp</t>
  </si>
  <si>
    <t>Máy bơm chữa cháy động cơ nhiên liệu Q: 45m3/h - H: 40m.c.n – giá máy</t>
  </si>
  <si>
    <t>Máy bơm chữa cháy động cơ nhiên liệu Q: 45m3/h - H: 40m.c.n – nhân công lắp</t>
  </si>
  <si>
    <t>Tủ chữa cháy KT: 400x600x200mm, tole dày 0,8mm, sơn tĩnh điện màu đỏ</t>
  </si>
  <si>
    <t>Cuộn vòi chữa cháy Ø50 - L = 20m + lăng phun</t>
  </si>
  <si>
    <t>cuộn</t>
  </si>
  <si>
    <t>Tạm tính</t>
  </si>
  <si>
    <t>Van góc FUJI DN50</t>
  </si>
  <si>
    <t>Bộ nội quy tiêu lệnh chữa cháy - Chất liệu bằng tôn</t>
  </si>
  <si>
    <t>BÌNH BỘT ABC 8KG</t>
  </si>
  <si>
    <t xml:space="preserve">bình </t>
  </si>
  <si>
    <t>Đèn báo trạm bơm</t>
  </si>
  <si>
    <t>Vật tư phụ lắp đặt</t>
  </si>
  <si>
    <t>5% × giá vốn các dòng 17–43</t>
  </si>
  <si>
    <t>Cáp cáp nguồn trạm bơm 3x10+1x6mm2</t>
  </si>
  <si>
    <t>mét</t>
  </si>
  <si>
    <t>Xây mới bể nước 10m3</t>
  </si>
  <si>
    <t>m2</t>
  </si>
  <si>
    <t>Xây dựng</t>
  </si>
  <si>
    <t>Xây lắp mới phòng bơm (KT: D*R*C=2,5*3*2,2)</t>
  </si>
  <si>
    <t>Xây lắp mới cầu thang thoát nạn nối thông 2 khối nhà</t>
  </si>
  <si>
    <t>md</t>
  </si>
  <si>
    <t>Đào đất đặt đường ống cấp nước chữa cháy</t>
  </si>
  <si>
    <t>m3</t>
  </si>
  <si>
    <t>Không có vật tư</t>
  </si>
  <si>
    <t>Đắp đất bằng đầm chặt K = 0,90</t>
  </si>
  <si>
    <t>5% × giá vốn các dòng 6–14</t>
  </si>
  <si>
    <t>5% × giá vốn các dòng 16–45</t>
  </si>
  <si>
    <t>Trung tâm báo cháy 5 kênh bao gồm Acquy</t>
  </si>
  <si>
    <t>Đèn chiếu sáng sự cố</t>
  </si>
  <si>
    <t>5% × giá vốn các dòng 16–46</t>
  </si>
  <si>
    <t>Tê giảm thép hàn DN100/65</t>
  </si>
  <si>
    <t>Tê giảm thép hàn DN65/50</t>
  </si>
  <si>
    <t>Côn giảm thép hàn DN80/65</t>
  </si>
  <si>
    <t>Mặt bích thép DN80</t>
  </si>
  <si>
    <t>Roăng su DN80</t>
  </si>
  <si>
    <t>Ống thép tráng kẽm DN80</t>
  </si>
  <si>
    <t>Van 1 chiều DN80</t>
  </si>
  <si>
    <t>5% × giá vốn các dòng 6–24</t>
  </si>
  <si>
    <t>5% × giá vốn các dòng 5–16</t>
  </si>
  <si>
    <t>Đèn exit</t>
  </si>
  <si>
    <t>Dây nguồn đèn exit sự cố 2x0.75mm</t>
  </si>
  <si>
    <t>Trung tâm báo cháy 10 kênh bao gồm Acquy</t>
  </si>
  <si>
    <t>5% × giá vốn các dòng 5–13</t>
  </si>
  <si>
    <t>5% × giá vốn các dòng 15–28</t>
  </si>
  <si>
    <t>Xây lắp mới cầu thang thoát nạn (tầng 2 xuống tầng 1)</t>
  </si>
  <si>
    <t>5% × giá vốn các dòng 5–14</t>
  </si>
  <si>
    <t>5% × giá vốn các dòng 16–29</t>
  </si>
  <si>
    <t>CỘNG 8 TRƯỜNG</t>
  </si>
  <si>
    <t>MẦM NON: CHI TIẾT TỪNG HẠNG MỤC (thành tiền, chi phí trực tiếp, trước thuế)</t>
  </si>
  <si>
    <t>KL 001</t>
  </si>
  <si>
    <t>KL DT</t>
  </si>
  <si>
    <t>VL 001</t>
  </si>
  <si>
    <t>VL DT</t>
  </si>
  <si>
    <t>NC 001</t>
  </si>
  <si>
    <t>NC+M DT</t>
  </si>
  <si>
    <t>Cộng 001</t>
  </si>
  <si>
    <t>Cộng DT</t>
  </si>
  <si>
    <t>Chênh (DT − 001)</t>
  </si>
  <si>
    <t>DT để giá co 650.000đ – lỗi nhập liệu</t>
  </si>
  <si>
    <t>Tiên lượng ghi 'bộ' (1 bích); DT tính theo cặp bích, đã quy về 1 bích</t>
  </si>
  <si>
    <t>KL lệch: tiên lượng 10 m, DT 100 m</t>
  </si>
  <si>
    <t>DT trường này 600.000đ, 2 trường kia 163.636đ</t>
  </si>
  <si>
    <t>DT tách vòi + lăng phun, đã cộng lại</t>
  </si>
  <si>
    <t>Lắp đặt máy bơm chữa cháy (2 máy)</t>
  </si>
  <si>
    <t>NC tiên lượng lấy từ 2 dòng máy bơm; giá máy đưa vào dòng Thiết bị</t>
  </si>
  <si>
    <t>Thiết bị (máy bơm, nội quy, kệ, bình, sơ đồ)</t>
  </si>
  <si>
    <t>DT để ở sheet tb (thiết bị) của file Tổng hợp</t>
  </si>
  <si>
    <t>Vật tư phụ 5%</t>
  </si>
  <si>
    <t>DT: vật liệu phụ đã nằm trong đơn giá</t>
  </si>
  <si>
    <t>Xây dựng (bể nước, phòng bơm, cầu thang, đào đắp)</t>
  </si>
  <si>
    <t>DT để ở file Xây lắp riêng</t>
  </si>
  <si>
    <t>KL lệch: tiên lượng 10, DT 15</t>
  </si>
  <si>
    <t>NC tiên lượng trường này gõ tay 15.000 (bảng đơn giá 18.000)</t>
  </si>
  <si>
    <t>NC tiên lượng trường này gõ tay 25.000 (bảng đơn giá 10.000)</t>
  </si>
  <si>
    <t>CỘNG 3 TRƯỜNG</t>
  </si>
  <si>
    <t>TIỂU HỌC – THCS: CHI TIẾT TỪNG HẠNG MỤC (thành tiền, chi phí trực tiếp, trước thuế)</t>
  </si>
  <si>
    <t>KL 002</t>
  </si>
  <si>
    <t>VL 002</t>
  </si>
  <si>
    <t>NC 002</t>
  </si>
  <si>
    <t>Cộng 002</t>
  </si>
  <si>
    <t>Chênh (DT − 002)</t>
  </si>
  <si>
    <t>Tê giảm DN100/65</t>
  </si>
  <si>
    <t>Tê DN65 + tê giảm DN65/50</t>
  </si>
  <si>
    <t>Côn giảm DN80/65</t>
  </si>
  <si>
    <t>Mặt bích DN80</t>
  </si>
  <si>
    <t>Tủ chữa cháy</t>
  </si>
  <si>
    <t>Cuộn vòi D50 + lăng phun</t>
  </si>
  <si>
    <t>Van góc DN50</t>
  </si>
  <si>
    <t>Thiết bị (nội quy, kệ, bình, sơ đồ)</t>
  </si>
  <si>
    <t>DT để ở sheet tb (thiết bị)</t>
  </si>
  <si>
    <t>Xây dựng (cầu thang, đào, đắp)</t>
  </si>
  <si>
    <t>Ống luồn dây / ống nhựa D20</t>
  </si>
  <si>
    <t>KL lệch / chỉ có ở một bên</t>
  </si>
  <si>
    <t>Dây nguồn đèn 2x0,75</t>
  </si>
  <si>
    <t>Tiếp địa</t>
  </si>
  <si>
    <t>Trung tâm báo cháy</t>
  </si>
  <si>
    <t>Nút ấn khẩn</t>
  </si>
  <si>
    <t>Đầu báo khói</t>
  </si>
  <si>
    <t>Cáp tín hiệu 2x2x0,5</t>
  </si>
  <si>
    <t>Cáp chống nhiễu 2x1,5</t>
  </si>
  <si>
    <t>Ống nhựa HDPE 40/30</t>
  </si>
  <si>
    <t>CỘNG 5 TRƯỜNG</t>
  </si>
  <si>
    <t>CÁC ĐIỂM CẦN XEM LẠI TRƯỚC KHI CHỐT</t>
  </si>
  <si>
    <t>#</t>
  </si>
  <si>
    <t>Ở đâu</t>
  </si>
  <si>
    <t>Nội dung</t>
  </si>
  <si>
    <t>Ảnh hưởng / đề xuất</t>
  </si>
  <si>
    <t>Dự toán – Tổng hợp mầm non, sheet tb</t>
  </si>
  <si>
    <t>Dưới giá vốn ≈ 30 tr cho 6 máy (thiết bị không có chi phí chung bù). Nâng tối thiểu bằng báo giá</t>
  </si>
  <si>
    <t>Dự toán – thiết bị TH-THCS và bình/kệ/nội quy</t>
  </si>
  <si>
    <t>Sơ đồ 150.000, bình 550.000, kệ 110.000, nội quy 40.000; giá vốn 442.000 / 652.000 / 137.000 / 53.000</t>
  </si>
  <si>
    <t>Dưới giá vốn ≈ 16 tr</t>
  </si>
  <si>
    <t>Dự toán mầm non – Giá tháng</t>
  </si>
  <si>
    <t>Co thép đen DN65 = 650.000đ (TH-THCS 65.000đ, giá vốn 53.000đ)</t>
  </si>
  <si>
    <t>Lỗi nhập liệu, đội ≈ 23 tr VL. Thẩm tra sẽ cắt</t>
  </si>
  <si>
    <t>Dự toán – 2 file PCCC</t>
  </si>
  <si>
    <t>Đầu báo khói: mầm non 427.273đ, TH-THCS 250.000đ (giá vốn 242.000đ)</t>
  </si>
  <si>
    <t>Không thống nhất; nếu thẩm tra đưa mầm non về 250.000 thì giảm ≈ 29 tr VL</t>
  </si>
  <si>
    <t>Dự toán mầm non – Đồng Sơn</t>
  </si>
  <si>
    <t>Đồng hồ áp suất 600.000đ, 2 trường kia 163.636đ (giá vốn 300.000đ)</t>
  </si>
  <si>
    <t>Đưa 2 trường kia lên ≥ 300.000</t>
  </si>
  <si>
    <t>Tiên lượng 001 – Đồng Sơn / Thuận Đức</t>
  </si>
  <si>
    <t>KL ống nhựa D25 Đồng Sơn 10 m (DT 100 m); tê DN65 Thuận Đức 10 (DT 15)</t>
  </si>
  <si>
    <t>Đối chiếu lại bản vẽ</t>
  </si>
  <si>
    <t>Giá vốn tạm tính</t>
  </si>
  <si>
    <t>Máy bơm điện 13 tr, bơm diesel 20,1 tr; giá vốn 15,4 / 27,72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</si>
</sst>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[Red]\-0.0%"/>
    <numFmt numFmtId="165" formatCode="0.000000"/>
    <numFmt numFmtId="166" formatCode="#,##0.##"/>
    <numFmt numFmtId="167" formatCode="0.0000"/>
    <numFmt numFmtId="168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4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8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8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64" fontId="0" fillId="4" borderId="0" xfId="0" applyNumberFormat="1" applyFill="1"/>
    <xf numFmtId="38" fontId="0" fillId="6" borderId="1" xfId="0" applyNumberForma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38" fontId="2" fillId="3" borderId="1" xfId="0" applyNumberFormat="1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0" fontId="1" fillId="0" borderId="0" xfId="0" applyFont="1"/>
    <xf numFmtId="165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8" fontId="2" fillId="2" borderId="1" xfId="0" applyNumberFormat="1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38" fontId="0" fillId="5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38" fontId="2" fillId="0" borderId="1" xfId="0" applyNumberFormat="1" applyFont="1" applyBorder="1"/>
    <xf numFmtId="0" fontId="0" fillId="6" borderId="1" xfId="0" applyFill="1" applyBorder="1" applyAlignment="1">
      <alignment vertical="center" wrapText="1"/>
    </xf>
    <xf numFmtId="167" fontId="0" fillId="0" borderId="0" xfId="0" applyNumberFormat="1"/>
    <xf numFmtId="168" fontId="0" fillId="4" borderId="0" xfId="0" applyNumberFormat="1" applyFill="1"/>
    <xf numFmtId="0" fontId="2" fillId="3" borderId="1" xfId="0" applyFont="1" applyFill="1" applyBorder="1"/>
    <xf numFmtId="0" fontId="0" fillId="3" borderId="1" xfId="0" applyFill="1" applyBorder="1"/>
    <xf numFmtId="38" fontId="0" fillId="4" borderId="1" xfId="0" applyNumberFormat="1" applyFill="1" applyBorder="1" applyAlignment="1">
      <alignment vertical="center" wrapText="1"/>
    </xf>
    <xf numFmtId="38" fontId="2" fillId="7" borderId="1" xfId="0" applyNumberFormat="1" applyFont="1" applyFill="1" applyBorder="1" applyAlignment="1">
      <alignment vertical="center" wrapText="1"/>
    </xf>
    <xf numFmtId="166" fontId="0" fillId="6" borderId="1" xfId="0" applyNumberFormat="1" applyFill="1" applyBorder="1" applyAlignment="1">
      <alignment vertical="center" wrapText="1"/>
    </xf>
    <xf numFmtId="0" fontId="2" fillId="0" borderId="1" xfId="0" applyFont="1" applyBorder="1"/>
    <xf numFmtId="0" fontId="4" fillId="0" borderId="0" xfId="0" applyFont="1"/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workbookViewId="0">
      <selection activeCell="H6" sqref="H6"/>
    </sheetView>
  </sheetViews>
  <sheetFormatPr defaultRowHeight="15" x14ac:dyDescent="0.25"/>
  <cols>
    <col min="1" max="1" width="62" customWidth="1"/>
    <col min="2" max="3" width="18" customWidth="1"/>
    <col min="4" max="4" width="16" customWidth="1"/>
    <col min="5" max="5" width="66.7109375" bestFit="1" customWidth="1"/>
    <col min="6" max="6" width="16" customWidth="1"/>
    <col min="7" max="7" width="12" customWidth="1"/>
  </cols>
  <sheetData>
    <row r="1" spans="1:5" ht="18.75" x14ac:dyDescent="0.3">
      <c r="A1" s="35" t="s">
        <v>0</v>
      </c>
      <c r="B1" s="35"/>
      <c r="C1" s="35"/>
      <c r="D1" s="35"/>
      <c r="E1" s="35"/>
    </row>
    <row r="3" spans="1:5" x14ac:dyDescent="0.25">
      <c r="A3" s="1" t="s">
        <v>1</v>
      </c>
    </row>
    <row r="4" spans="1:5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3" t="s">
        <v>7</v>
      </c>
      <c r="B5" s="4">
        <f>'Tung truong'!H12</f>
        <v>1493049046.9212496</v>
      </c>
      <c r="C5" s="4">
        <f>'Tung truong'!L12</f>
        <v>1335394742</v>
      </c>
      <c r="D5" s="4">
        <f>C5-B5</f>
        <v>-157654304.92124963</v>
      </c>
      <c r="E5" s="5">
        <f>D5/B5</f>
        <v>-0.10559218081036359</v>
      </c>
    </row>
    <row r="6" spans="1:5" x14ac:dyDescent="0.25">
      <c r="A6" s="3" t="s">
        <v>8</v>
      </c>
      <c r="B6" s="4">
        <f>'Tung truong'!H13</f>
        <v>1807375188.5413995</v>
      </c>
      <c r="C6" s="4">
        <f>'Tung truong'!L13</f>
        <v>1629683388</v>
      </c>
      <c r="D6" s="4">
        <f>C6-B6</f>
        <v>-177691800.54139948</v>
      </c>
      <c r="E6" s="5">
        <f>D6/B6</f>
        <v>-9.8314838926610221E-2</v>
      </c>
    </row>
    <row r="7" spans="1:5" x14ac:dyDescent="0.25">
      <c r="A7" s="6" t="s">
        <v>9</v>
      </c>
      <c r="B7" s="7">
        <f>'Tung truong'!H14</f>
        <v>3300424235.4626493</v>
      </c>
      <c r="C7" s="7">
        <f>'Tung truong'!L14</f>
        <v>2965078130</v>
      </c>
      <c r="D7" s="7">
        <f>C7-B7</f>
        <v>-335346105.46264935</v>
      </c>
      <c r="E7" s="8">
        <f>D7/B7</f>
        <v>-0.10160696975237214</v>
      </c>
    </row>
    <row r="9" spans="1:5" x14ac:dyDescent="0.25">
      <c r="A9" s="1" t="s">
        <v>10</v>
      </c>
    </row>
    <row r="10" spans="1:5" ht="30" x14ac:dyDescent="0.25">
      <c r="A10" s="2" t="s">
        <v>11</v>
      </c>
      <c r="B10" s="2" t="s">
        <v>3</v>
      </c>
      <c r="C10" s="2" t="s">
        <v>4</v>
      </c>
      <c r="D10" s="2" t="s">
        <v>5</v>
      </c>
      <c r="E10" s="2" t="s">
        <v>12</v>
      </c>
    </row>
    <row r="11" spans="1:5" ht="30" x14ac:dyDescent="0.25">
      <c r="A11" s="3" t="s">
        <v>13</v>
      </c>
      <c r="B11" s="4">
        <f>('Tung truong'!C14+'Tung truong'!E14)*'Tung truong'!$U$2</f>
        <v>2494944453.6986494</v>
      </c>
      <c r="C11" s="4">
        <f>'Tung truong'!I14</f>
        <v>1963966800</v>
      </c>
      <c r="D11" s="4">
        <f>C11-B11</f>
        <v>-530977653.69864941</v>
      </c>
      <c r="E11" s="3" t="s">
        <v>14</v>
      </c>
    </row>
    <row r="12" spans="1:5" ht="30" x14ac:dyDescent="0.25">
      <c r="A12" s="3" t="s">
        <v>15</v>
      </c>
      <c r="B12" s="4">
        <f>'Tung truong'!D14*'Tung truong'!$U$2</f>
        <v>336289322.8599999</v>
      </c>
      <c r="C12" s="4">
        <f>'Tung truong'!K14</f>
        <v>138140000</v>
      </c>
      <c r="D12" s="4">
        <f>C12-B12</f>
        <v>-198149322.8599999</v>
      </c>
      <c r="E12" s="3" t="s">
        <v>16</v>
      </c>
    </row>
    <row r="13" spans="1:5" ht="30" x14ac:dyDescent="0.25">
      <c r="A13" s="3" t="s">
        <v>17</v>
      </c>
      <c r="B13" s="4">
        <f>'Tung truong'!F14*'Tung truong'!$U$2</f>
        <v>469190458.90399987</v>
      </c>
      <c r="C13" s="4">
        <f>'Tung truong'!J14</f>
        <v>862971330</v>
      </c>
      <c r="D13" s="4">
        <f>C13-B13</f>
        <v>393780871.09600013</v>
      </c>
      <c r="E13" s="3" t="s">
        <v>18</v>
      </c>
    </row>
    <row r="14" spans="1:5" x14ac:dyDescent="0.25">
      <c r="A14" s="6" t="s">
        <v>19</v>
      </c>
      <c r="B14" s="7">
        <f>SUM(B11:B13)</f>
        <v>3300424235.4626489</v>
      </c>
      <c r="C14" s="7">
        <f>SUM(C11:C13)</f>
        <v>2965078130</v>
      </c>
      <c r="D14" s="7">
        <f>C14-B14</f>
        <v>-335346105.46264887</v>
      </c>
      <c r="E14" s="6"/>
    </row>
    <row r="16" spans="1:5" x14ac:dyDescent="0.25">
      <c r="A16" s="1" t="s">
        <v>20</v>
      </c>
    </row>
    <row r="17" spans="1:7" ht="30" x14ac:dyDescent="0.25">
      <c r="A17" s="2" t="s">
        <v>2</v>
      </c>
      <c r="B17" s="2" t="s">
        <v>21</v>
      </c>
      <c r="C17" s="2" t="s">
        <v>22</v>
      </c>
      <c r="D17" s="2" t="s">
        <v>23</v>
      </c>
      <c r="E17" s="2" t="s">
        <v>12</v>
      </c>
    </row>
    <row r="18" spans="1:7" x14ac:dyDescent="0.25">
      <c r="A18" s="3" t="s">
        <v>24</v>
      </c>
      <c r="B18" s="4">
        <v>1852068000</v>
      </c>
      <c r="C18" s="4">
        <v>1699000000</v>
      </c>
      <c r="D18" s="4">
        <f>C18-B18</f>
        <v>-153068000</v>
      </c>
      <c r="E18" s="3" t="s">
        <v>25</v>
      </c>
    </row>
    <row r="19" spans="1:7" x14ac:dyDescent="0.25">
      <c r="A19" s="3" t="s">
        <v>26</v>
      </c>
      <c r="B19" s="4">
        <v>2235697000</v>
      </c>
      <c r="C19" s="4">
        <v>2064000000</v>
      </c>
      <c r="D19" s="4">
        <f>C19-B19</f>
        <v>-171697000</v>
      </c>
      <c r="E19" s="3" t="s">
        <v>27</v>
      </c>
    </row>
    <row r="20" spans="1:7" x14ac:dyDescent="0.25">
      <c r="A20" s="6" t="s">
        <v>19</v>
      </c>
      <c r="B20" s="7">
        <f>B18+B19</f>
        <v>4087765000</v>
      </c>
      <c r="C20" s="7">
        <f>C18+C19</f>
        <v>3763000000</v>
      </c>
      <c r="D20" s="7">
        <f>C20-B20</f>
        <v>-324765000</v>
      </c>
      <c r="E20" s="6"/>
    </row>
    <row r="22" spans="1:7" x14ac:dyDescent="0.25">
      <c r="A22" s="1" t="s">
        <v>28</v>
      </c>
    </row>
    <row r="23" spans="1:7" x14ac:dyDescent="0.25">
      <c r="A23" t="s">
        <v>29</v>
      </c>
      <c r="B23" s="9">
        <v>8.4000000000000005E-2</v>
      </c>
      <c r="E23" t="s">
        <v>30</v>
      </c>
    </row>
    <row r="24" spans="1:7" ht="30" x14ac:dyDescent="0.25">
      <c r="A24" s="2" t="s">
        <v>11</v>
      </c>
      <c r="B24" s="2" t="s">
        <v>31</v>
      </c>
      <c r="C24" s="2" t="s">
        <v>32</v>
      </c>
      <c r="D24" s="2" t="s">
        <v>33</v>
      </c>
      <c r="E24" s="2" t="s">
        <v>34</v>
      </c>
      <c r="F24" s="2" t="s">
        <v>35</v>
      </c>
      <c r="G24" s="2" t="s">
        <v>36</v>
      </c>
    </row>
    <row r="25" spans="1:7" x14ac:dyDescent="0.25">
      <c r="A25" s="3" t="s">
        <v>37</v>
      </c>
      <c r="B25" s="4">
        <f>'Tung truong'!I14</f>
        <v>1963966800</v>
      </c>
      <c r="C25" s="4">
        <f>SUMIFS('Gia von chi tiet'!$L:$L,'Gia von chi tiet'!$F:$F,"Lắp đặt PCCC")+SUMIFS('Gia von chi tiet'!$L:$L,'Gia von chi tiet'!$F:$F,"Vật tư phụ")</f>
        <v>1394991022</v>
      </c>
      <c r="D25" s="4">
        <f>B25-C25</f>
        <v>568975778</v>
      </c>
      <c r="E25" s="5">
        <f>D25/B25</f>
        <v>0.28970743191789189</v>
      </c>
      <c r="F25" s="4">
        <f>D25-C25*$B$23</f>
        <v>451796532.15200001</v>
      </c>
      <c r="G25" s="5">
        <f>F25/B25</f>
        <v>0.23004285619899481</v>
      </c>
    </row>
    <row r="26" spans="1:7" x14ac:dyDescent="0.25">
      <c r="A26" s="3" t="s">
        <v>15</v>
      </c>
      <c r="B26" s="4">
        <f>'Tung truong'!K14</f>
        <v>138140000</v>
      </c>
      <c r="C26" s="4">
        <f>SUMIFS('Gia von chi tiet'!$L:$L,'Gia von chi tiet'!$F:$F,"Thiết bị")</f>
        <v>186957824</v>
      </c>
      <c r="D26" s="10">
        <f>B26-C26</f>
        <v>-48817824</v>
      </c>
      <c r="E26" s="5">
        <f>D26/B26</f>
        <v>-0.35339383234399885</v>
      </c>
      <c r="F26" s="10">
        <f>D26</f>
        <v>-48817824</v>
      </c>
      <c r="G26" s="5">
        <f>F26/B26</f>
        <v>-0.35339383234399885</v>
      </c>
    </row>
    <row r="27" spans="1:7" x14ac:dyDescent="0.25">
      <c r="A27" s="3" t="s">
        <v>38</v>
      </c>
      <c r="B27" s="4">
        <f>'Tung truong'!J14</f>
        <v>862971330</v>
      </c>
      <c r="C27" s="4">
        <f>SUMIFS('Gia von chi tiet'!$L:$L,'Gia von chi tiet'!$F:$F,"Xây dựng")</f>
        <v>358531333.33333337</v>
      </c>
      <c r="D27" s="4">
        <f>B27-C27</f>
        <v>504439996.66666663</v>
      </c>
      <c r="E27" s="5">
        <f>D27/B27</f>
        <v>0.5845385346308859</v>
      </c>
      <c r="F27" s="4">
        <f>D27-C27*$B$23</f>
        <v>474323364.66666663</v>
      </c>
      <c r="G27" s="5">
        <f>F27/B27</f>
        <v>0.54963977153988031</v>
      </c>
    </row>
    <row r="28" spans="1:7" x14ac:dyDescent="0.25">
      <c r="A28" s="11" t="s">
        <v>39</v>
      </c>
      <c r="B28" s="12">
        <f>SUM(B25:B27)</f>
        <v>2965078130</v>
      </c>
      <c r="C28" s="12">
        <f>SUM(C25:C27)</f>
        <v>1940480179.3333335</v>
      </c>
      <c r="D28" s="12">
        <f>SUM(D25:D27)</f>
        <v>1024597950.6666666</v>
      </c>
      <c r="E28" s="13">
        <f>D28/B28</f>
        <v>0.34555512730002386</v>
      </c>
      <c r="F28" s="12">
        <f>SUM(F25:F27)</f>
        <v>877302072.8186667</v>
      </c>
      <c r="G28" s="13">
        <f>F28/B28</f>
        <v>0.29587823131617336</v>
      </c>
    </row>
    <row r="29" spans="1:7" ht="30" x14ac:dyDescent="0.25">
      <c r="A29" s="6" t="s">
        <v>40</v>
      </c>
      <c r="B29" s="7">
        <f>B25+B26+B27</f>
        <v>2965078130</v>
      </c>
      <c r="C29" s="7">
        <f>C25+C26+B27</f>
        <v>2444920176</v>
      </c>
      <c r="D29" s="7">
        <f>B29-C29</f>
        <v>520157954</v>
      </c>
      <c r="E29" s="8">
        <f>D29/B29</f>
        <v>0.17542807683114914</v>
      </c>
      <c r="F29" s="7">
        <f>F25+F26</f>
        <v>402978708.15200001</v>
      </c>
      <c r="G29" s="8">
        <f>F29/B29</f>
        <v>0.13590829330085816</v>
      </c>
    </row>
    <row r="31" spans="1:7" x14ac:dyDescent="0.25">
      <c r="A31" s="1" t="s">
        <v>41</v>
      </c>
    </row>
    <row r="32" spans="1:7" x14ac:dyDescent="0.25">
      <c r="A32" s="3" t="s">
        <v>42</v>
      </c>
      <c r="B32" s="4">
        <f>'Tung truong'!G14</f>
        <v>2820887470</v>
      </c>
      <c r="E32" s="3"/>
    </row>
    <row r="33" spans="1:5" x14ac:dyDescent="0.25">
      <c r="A33" s="3" t="s">
        <v>32</v>
      </c>
      <c r="B33" s="4">
        <f>'Gia von chi tiet'!L266</f>
        <v>1940480179.3333335</v>
      </c>
      <c r="E33" s="3"/>
    </row>
    <row r="34" spans="1:5" x14ac:dyDescent="0.25">
      <c r="A34" s="3" t="s">
        <v>43</v>
      </c>
      <c r="B34" s="5">
        <f>B32/B33-1</f>
        <v>0.45370589199686484</v>
      </c>
      <c r="E34" s="3"/>
    </row>
    <row r="35" spans="1:5" ht="30" x14ac:dyDescent="0.25">
      <c r="A35" s="3" t="s">
        <v>44</v>
      </c>
      <c r="B35" s="4">
        <f>'Gia von chi tiet'!P266</f>
        <v>7174566</v>
      </c>
      <c r="E35" s="3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L4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N14" sqref="N14"/>
    </sheetView>
  </sheetViews>
  <sheetFormatPr defaultRowHeight="15" x14ac:dyDescent="0.25"/>
  <cols>
    <col min="1" max="1" width="5" customWidth="1"/>
    <col min="2" max="2" width="44" customWidth="1"/>
    <col min="3" max="3" width="10" customWidth="1"/>
    <col min="4" max="4" width="6" customWidth="1"/>
    <col min="5" max="5" width="10" customWidth="1"/>
    <col min="6" max="6" width="11.140625" bestFit="1" customWidth="1"/>
    <col min="7" max="8" width="13" customWidth="1"/>
    <col min="9" max="10" width="15" customWidth="1"/>
    <col min="11" max="11" width="44" customWidth="1"/>
    <col min="12" max="12" width="8" customWidth="1"/>
  </cols>
  <sheetData>
    <row r="1" spans="1:12" ht="17.25" x14ac:dyDescent="0.3">
      <c r="A1" s="36" t="s">
        <v>45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x14ac:dyDescent="0.25">
      <c r="E2" t="s">
        <v>46</v>
      </c>
      <c r="G2" s="25">
        <v>1.1711322900000001</v>
      </c>
      <c r="H2" t="s">
        <v>47</v>
      </c>
      <c r="J2" s="26">
        <v>1.244</v>
      </c>
    </row>
    <row r="4" spans="1:12" ht="36" customHeight="1" x14ac:dyDescent="0.25">
      <c r="A4" s="2" t="s">
        <v>48</v>
      </c>
      <c r="B4" s="2" t="s">
        <v>49</v>
      </c>
      <c r="C4" s="2" t="s">
        <v>2</v>
      </c>
      <c r="D4" s="2" t="s">
        <v>50</v>
      </c>
      <c r="E4" s="2" t="s">
        <v>51</v>
      </c>
      <c r="F4" s="2" t="s">
        <v>52</v>
      </c>
      <c r="G4" s="2" t="s">
        <v>304</v>
      </c>
      <c r="H4" s="2" t="s">
        <v>53</v>
      </c>
      <c r="I4" s="2" t="s">
        <v>54</v>
      </c>
      <c r="J4" s="2" t="s">
        <v>55</v>
      </c>
      <c r="K4" s="2" t="s">
        <v>12</v>
      </c>
      <c r="L4" s="2" t="s">
        <v>56</v>
      </c>
    </row>
    <row r="5" spans="1:12" x14ac:dyDescent="0.25">
      <c r="A5" s="27" t="s">
        <v>57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30" x14ac:dyDescent="0.25">
      <c r="A6" s="3">
        <v>1</v>
      </c>
      <c r="B6" s="3" t="s">
        <v>58</v>
      </c>
      <c r="C6" s="3" t="s">
        <v>24</v>
      </c>
      <c r="D6" s="3" t="s">
        <v>59</v>
      </c>
      <c r="E6" s="4">
        <v>3</v>
      </c>
      <c r="F6" s="4">
        <v>20100000</v>
      </c>
      <c r="G6" s="4">
        <v>27720000</v>
      </c>
      <c r="H6" s="29">
        <f>MAX(F6,G6)</f>
        <v>27720000</v>
      </c>
      <c r="I6" s="4">
        <f>E6*(H6-F6)</f>
        <v>22860000</v>
      </c>
      <c r="J6" s="4">
        <f t="shared" ref="J6:J11" si="0">I6</f>
        <v>22860000</v>
      </c>
      <c r="K6" s="3" t="s">
        <v>61</v>
      </c>
      <c r="L6" s="3">
        <v>1</v>
      </c>
    </row>
    <row r="7" spans="1:12" x14ac:dyDescent="0.25">
      <c r="A7" s="3">
        <v>2</v>
      </c>
      <c r="B7" s="3" t="s">
        <v>62</v>
      </c>
      <c r="C7" s="3" t="s">
        <v>63</v>
      </c>
      <c r="D7" s="3" t="s">
        <v>64</v>
      </c>
      <c r="E7" s="4">
        <v>35</v>
      </c>
      <c r="F7" s="4">
        <v>150000</v>
      </c>
      <c r="G7" s="4">
        <v>442000</v>
      </c>
      <c r="H7" s="29">
        <f>MAX(F7,G7)</f>
        <v>442000</v>
      </c>
      <c r="I7" s="4">
        <f>E7*(H7-F7)</f>
        <v>10220000</v>
      </c>
      <c r="J7" s="4">
        <f t="shared" si="0"/>
        <v>10220000</v>
      </c>
      <c r="K7" s="3"/>
      <c r="L7" s="3">
        <v>1</v>
      </c>
    </row>
    <row r="8" spans="1:12" ht="30" x14ac:dyDescent="0.25">
      <c r="A8" s="3">
        <v>3</v>
      </c>
      <c r="B8" s="3" t="s">
        <v>65</v>
      </c>
      <c r="C8" s="3" t="s">
        <v>24</v>
      </c>
      <c r="D8" s="3" t="s">
        <v>59</v>
      </c>
      <c r="E8" s="4">
        <v>3</v>
      </c>
      <c r="F8" s="4">
        <v>13000000</v>
      </c>
      <c r="G8" s="4">
        <v>15400000</v>
      </c>
      <c r="H8" s="29">
        <f>MAX(F8,G8)</f>
        <v>15400000</v>
      </c>
      <c r="I8" s="4">
        <f>E8*(H8-F8)</f>
        <v>7200000</v>
      </c>
      <c r="J8" s="4">
        <f t="shared" si="0"/>
        <v>7200000</v>
      </c>
      <c r="K8" s="3" t="s">
        <v>66</v>
      </c>
      <c r="L8" s="3">
        <v>1</v>
      </c>
    </row>
    <row r="9" spans="1:12" x14ac:dyDescent="0.25">
      <c r="A9" s="3">
        <v>4</v>
      </c>
      <c r="B9" s="3" t="s">
        <v>67</v>
      </c>
      <c r="C9" s="3" t="s">
        <v>24</v>
      </c>
      <c r="D9" s="3" t="s">
        <v>68</v>
      </c>
      <c r="E9" s="4">
        <v>28</v>
      </c>
      <c r="F9" s="4">
        <v>550000</v>
      </c>
      <c r="G9" s="4">
        <v>652000</v>
      </c>
      <c r="H9" s="29">
        <f>MAX(F9,G9)</f>
        <v>652000</v>
      </c>
      <c r="I9" s="4">
        <f>E9*(H9-F9)</f>
        <v>2856000</v>
      </c>
      <c r="J9" s="4">
        <f t="shared" si="0"/>
        <v>2856000</v>
      </c>
      <c r="K9" s="3"/>
      <c r="L9" s="3">
        <v>2</v>
      </c>
    </row>
    <row r="10" spans="1:12" x14ac:dyDescent="0.25">
      <c r="A10" s="3">
        <v>5</v>
      </c>
      <c r="B10" s="3" t="s">
        <v>67</v>
      </c>
      <c r="C10" s="3" t="s">
        <v>63</v>
      </c>
      <c r="D10" s="3" t="s">
        <v>68</v>
      </c>
      <c r="E10" s="4">
        <v>20</v>
      </c>
      <c r="F10" s="4">
        <v>550000</v>
      </c>
      <c r="G10" s="4">
        <v>652000</v>
      </c>
      <c r="H10" s="29">
        <f>MAX(F10,G10)</f>
        <v>652000</v>
      </c>
      <c r="I10" s="4">
        <f>E10*(H10-F10)</f>
        <v>2040000</v>
      </c>
      <c r="J10" s="4">
        <f t="shared" si="0"/>
        <v>2040000</v>
      </c>
      <c r="K10" s="3"/>
      <c r="L10" s="3">
        <v>2</v>
      </c>
    </row>
    <row r="11" spans="1:12" x14ac:dyDescent="0.25">
      <c r="A11" s="3">
        <v>6</v>
      </c>
      <c r="B11" s="3" t="s">
        <v>69</v>
      </c>
      <c r="C11" s="3" t="s">
        <v>24</v>
      </c>
      <c r="D11" s="3" t="s">
        <v>64</v>
      </c>
      <c r="E11" s="4">
        <v>14</v>
      </c>
      <c r="F11" s="4">
        <v>110000</v>
      </c>
      <c r="G11" s="4">
        <v>137000</v>
      </c>
      <c r="H11" s="29">
        <f>MAX(F11,G11)</f>
        <v>137000</v>
      </c>
      <c r="I11" s="4">
        <f>E11*(H11-F11)</f>
        <v>378000</v>
      </c>
      <c r="J11" s="4">
        <f t="shared" si="0"/>
        <v>378000</v>
      </c>
      <c r="K11" s="3"/>
      <c r="L11" s="3">
        <v>2</v>
      </c>
    </row>
    <row r="12" spans="1:12" x14ac:dyDescent="0.25">
      <c r="A12" s="27" t="s">
        <v>70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x14ac:dyDescent="0.25">
      <c r="A13" s="3">
        <v>7</v>
      </c>
      <c r="B13" s="3" t="s">
        <v>71</v>
      </c>
      <c r="C13" s="3" t="s">
        <v>24</v>
      </c>
      <c r="D13" s="3" t="s">
        <v>72</v>
      </c>
      <c r="E13" s="4">
        <v>300</v>
      </c>
      <c r="F13" s="4">
        <v>276910</v>
      </c>
      <c r="G13" s="4">
        <v>330000</v>
      </c>
      <c r="H13" s="29">
        <f>MAX(F13,G13)</f>
        <v>330000</v>
      </c>
      <c r="I13" s="4">
        <f>E13*(H13-F13)</f>
        <v>15927000</v>
      </c>
      <c r="J13" s="4">
        <f t="shared" ref="J13:J33" si="1">I13*$G$2</f>
        <v>18652623.982830003</v>
      </c>
      <c r="K13" s="3" t="s">
        <v>73</v>
      </c>
      <c r="L13" s="3">
        <v>1</v>
      </c>
    </row>
    <row r="14" spans="1:12" x14ac:dyDescent="0.25">
      <c r="A14" s="3">
        <v>8</v>
      </c>
      <c r="B14" s="3" t="s">
        <v>74</v>
      </c>
      <c r="C14" s="3" t="s">
        <v>63</v>
      </c>
      <c r="D14" s="3" t="s">
        <v>72</v>
      </c>
      <c r="E14" s="4">
        <v>570</v>
      </c>
      <c r="F14" s="4">
        <v>99685</v>
      </c>
      <c r="G14" s="4">
        <v>120000</v>
      </c>
      <c r="H14" s="29">
        <f>MAX(F14,G14)</f>
        <v>120000</v>
      </c>
      <c r="I14" s="4">
        <f>E14*(H14-F14)</f>
        <v>11579550</v>
      </c>
      <c r="J14" s="4">
        <f t="shared" si="1"/>
        <v>13561184.908669502</v>
      </c>
      <c r="K14" s="3" t="s">
        <v>61</v>
      </c>
      <c r="L14" s="3">
        <v>1</v>
      </c>
    </row>
    <row r="15" spans="1:12" x14ac:dyDescent="0.25">
      <c r="A15" s="3">
        <v>9</v>
      </c>
      <c r="B15" s="3" t="s">
        <v>75</v>
      </c>
      <c r="C15" s="3" t="s">
        <v>63</v>
      </c>
      <c r="D15" s="3" t="s">
        <v>72</v>
      </c>
      <c r="E15" s="4">
        <v>860</v>
      </c>
      <c r="F15" s="4">
        <v>127270</v>
      </c>
      <c r="G15" s="4">
        <v>140000</v>
      </c>
      <c r="H15" s="29">
        <f>MAX(F15,G15)</f>
        <v>140000</v>
      </c>
      <c r="I15" s="4">
        <f>E15*(H15-F15)</f>
        <v>10947800</v>
      </c>
      <c r="J15" s="4">
        <f t="shared" si="1"/>
        <v>12821322.084462</v>
      </c>
      <c r="K15" s="3" t="s">
        <v>76</v>
      </c>
      <c r="L15" s="3">
        <v>1</v>
      </c>
    </row>
    <row r="16" spans="1:12" x14ac:dyDescent="0.25">
      <c r="A16" s="3">
        <v>10</v>
      </c>
      <c r="B16" s="3" t="s">
        <v>77</v>
      </c>
      <c r="C16" s="3" t="s">
        <v>63</v>
      </c>
      <c r="D16" s="3" t="s">
        <v>78</v>
      </c>
      <c r="E16" s="4">
        <v>70</v>
      </c>
      <c r="F16" s="4">
        <v>50000</v>
      </c>
      <c r="G16" s="4">
        <v>116000</v>
      </c>
      <c r="H16" s="29">
        <f>MAX(F16,G16)</f>
        <v>116000</v>
      </c>
      <c r="I16" s="4">
        <f>E16*(H16-F16)</f>
        <v>4620000</v>
      </c>
      <c r="J16" s="4">
        <f t="shared" si="1"/>
        <v>5410631.1798</v>
      </c>
      <c r="K16" s="3"/>
      <c r="L16" s="3">
        <v>2</v>
      </c>
    </row>
    <row r="17" spans="1:12" x14ac:dyDescent="0.25">
      <c r="A17" s="3">
        <v>11</v>
      </c>
      <c r="B17" s="3" t="s">
        <v>79</v>
      </c>
      <c r="C17" s="3" t="s">
        <v>63</v>
      </c>
      <c r="D17" s="3" t="s">
        <v>78</v>
      </c>
      <c r="E17" s="4">
        <v>4</v>
      </c>
      <c r="F17" s="4">
        <v>1150000</v>
      </c>
      <c r="G17" s="4">
        <v>2205000</v>
      </c>
      <c r="H17" s="29">
        <f>MAX(F17,G17)</f>
        <v>2205000</v>
      </c>
      <c r="I17" s="4">
        <f>E17*(H17-F17)</f>
        <v>4220000</v>
      </c>
      <c r="J17" s="4">
        <f t="shared" si="1"/>
        <v>4942178.2638000008</v>
      </c>
      <c r="K17" s="3"/>
      <c r="L17" s="3">
        <v>2</v>
      </c>
    </row>
    <row r="18" spans="1:12" x14ac:dyDescent="0.25">
      <c r="A18" s="3">
        <v>12</v>
      </c>
      <c r="B18" s="3" t="s">
        <v>79</v>
      </c>
      <c r="C18" s="3" t="s">
        <v>24</v>
      </c>
      <c r="D18" s="3" t="s">
        <v>78</v>
      </c>
      <c r="E18" s="4">
        <v>3</v>
      </c>
      <c r="F18" s="4">
        <v>1150000</v>
      </c>
      <c r="G18" s="4">
        <v>2205000</v>
      </c>
      <c r="H18" s="29">
        <f>MAX(F18,G18)</f>
        <v>2205000</v>
      </c>
      <c r="I18" s="4">
        <f>E18*(H18-F18)</f>
        <v>3165000</v>
      </c>
      <c r="J18" s="4">
        <f t="shared" si="1"/>
        <v>3706633.6978500001</v>
      </c>
      <c r="K18" s="3"/>
      <c r="L18" s="3">
        <v>2</v>
      </c>
    </row>
    <row r="19" spans="1:12" x14ac:dyDescent="0.25">
      <c r="A19" s="3">
        <v>13</v>
      </c>
      <c r="B19" s="3" t="s">
        <v>77</v>
      </c>
      <c r="C19" s="3" t="s">
        <v>24</v>
      </c>
      <c r="D19" s="3" t="s">
        <v>78</v>
      </c>
      <c r="E19" s="4">
        <v>46</v>
      </c>
      <c r="F19" s="4">
        <v>50000</v>
      </c>
      <c r="G19" s="4">
        <v>116000</v>
      </c>
      <c r="H19" s="29">
        <f>MAX(F19,G19)</f>
        <v>116000</v>
      </c>
      <c r="I19" s="4">
        <f>E19*(H19-F19)</f>
        <v>3036000</v>
      </c>
      <c r="J19" s="4">
        <f t="shared" si="1"/>
        <v>3555557.6324400003</v>
      </c>
      <c r="K19" s="3"/>
      <c r="L19" s="3">
        <v>2</v>
      </c>
    </row>
    <row r="20" spans="1:12" x14ac:dyDescent="0.25">
      <c r="A20" s="3">
        <v>14</v>
      </c>
      <c r="B20" s="3" t="s">
        <v>74</v>
      </c>
      <c r="C20" s="3" t="s">
        <v>24</v>
      </c>
      <c r="D20" s="3" t="s">
        <v>72</v>
      </c>
      <c r="E20" s="4">
        <v>148</v>
      </c>
      <c r="F20" s="4">
        <v>99685</v>
      </c>
      <c r="G20" s="4">
        <v>120000</v>
      </c>
      <c r="H20" s="29">
        <f>MAX(F20,G20)</f>
        <v>120000</v>
      </c>
      <c r="I20" s="4">
        <f>E20*(H20-F20)</f>
        <v>3006620</v>
      </c>
      <c r="J20" s="4">
        <f t="shared" si="1"/>
        <v>3521149.7657598001</v>
      </c>
      <c r="K20" s="3" t="s">
        <v>61</v>
      </c>
      <c r="L20" s="3">
        <v>2</v>
      </c>
    </row>
    <row r="21" spans="1:12" x14ac:dyDescent="0.25">
      <c r="A21" s="3">
        <v>15</v>
      </c>
      <c r="B21" s="3" t="s">
        <v>80</v>
      </c>
      <c r="C21" s="3" t="s">
        <v>63</v>
      </c>
      <c r="D21" s="3" t="s">
        <v>78</v>
      </c>
      <c r="E21" s="4">
        <v>70</v>
      </c>
      <c r="F21" s="4">
        <v>560000</v>
      </c>
      <c r="G21" s="4">
        <v>600000</v>
      </c>
      <c r="H21" s="29">
        <f>MAX(F21,G21)</f>
        <v>600000</v>
      </c>
      <c r="I21" s="4">
        <f>E21*(H21-F21)</f>
        <v>2800000</v>
      </c>
      <c r="J21" s="4">
        <f t="shared" si="1"/>
        <v>3279170.412</v>
      </c>
      <c r="K21" s="3" t="s">
        <v>81</v>
      </c>
      <c r="L21" s="3">
        <v>2</v>
      </c>
    </row>
    <row r="22" spans="1:12" x14ac:dyDescent="0.25">
      <c r="A22" s="3">
        <v>16</v>
      </c>
      <c r="B22" s="3" t="s">
        <v>82</v>
      </c>
      <c r="C22" s="3" t="s">
        <v>63</v>
      </c>
      <c r="D22" s="3" t="s">
        <v>64</v>
      </c>
      <c r="E22" s="4">
        <v>57</v>
      </c>
      <c r="F22" s="4">
        <v>320000</v>
      </c>
      <c r="G22" s="4">
        <v>368000</v>
      </c>
      <c r="H22" s="29">
        <f>MAX(F22,G22)</f>
        <v>368000</v>
      </c>
      <c r="I22" s="4">
        <f>E22*(H22-F22)</f>
        <v>2736000</v>
      </c>
      <c r="J22" s="4">
        <f t="shared" si="1"/>
        <v>3204217.9454400004</v>
      </c>
      <c r="K22" s="3"/>
      <c r="L22" s="3">
        <v>2</v>
      </c>
    </row>
    <row r="23" spans="1:12" x14ac:dyDescent="0.25">
      <c r="A23" s="3">
        <v>17</v>
      </c>
      <c r="B23" s="3" t="s">
        <v>75</v>
      </c>
      <c r="C23" s="3" t="s">
        <v>24</v>
      </c>
      <c r="D23" s="3" t="s">
        <v>72</v>
      </c>
      <c r="E23" s="4">
        <v>212</v>
      </c>
      <c r="F23" s="4">
        <v>127270</v>
      </c>
      <c r="G23" s="4">
        <v>140000</v>
      </c>
      <c r="H23" s="29">
        <f>MAX(F23,G23)</f>
        <v>140000</v>
      </c>
      <c r="I23" s="4">
        <f>E23*(H23-F23)</f>
        <v>2698760</v>
      </c>
      <c r="J23" s="4">
        <f t="shared" si="1"/>
        <v>3160604.9789604</v>
      </c>
      <c r="K23" s="3" t="s">
        <v>76</v>
      </c>
      <c r="L23" s="3">
        <v>2</v>
      </c>
    </row>
    <row r="24" spans="1:12" x14ac:dyDescent="0.25">
      <c r="A24" s="3">
        <v>18</v>
      </c>
      <c r="B24" s="3" t="s">
        <v>83</v>
      </c>
      <c r="C24" s="3" t="s">
        <v>24</v>
      </c>
      <c r="D24" s="3" t="s">
        <v>78</v>
      </c>
      <c r="E24" s="4">
        <v>2</v>
      </c>
      <c r="F24" s="4">
        <v>6500000</v>
      </c>
      <c r="G24" s="4">
        <v>7500000</v>
      </c>
      <c r="H24" s="29">
        <f>MAX(F24,G24)</f>
        <v>7500000</v>
      </c>
      <c r="I24" s="4">
        <f>E24*(H24-F24)</f>
        <v>2000000</v>
      </c>
      <c r="J24" s="4">
        <f t="shared" si="1"/>
        <v>2342264.58</v>
      </c>
      <c r="K24" s="3"/>
      <c r="L24" s="3">
        <v>2</v>
      </c>
    </row>
    <row r="25" spans="1:12" x14ac:dyDescent="0.25">
      <c r="A25" s="3">
        <v>19</v>
      </c>
      <c r="B25" s="3" t="s">
        <v>84</v>
      </c>
      <c r="C25" s="3" t="s">
        <v>24</v>
      </c>
      <c r="D25" s="3" t="s">
        <v>72</v>
      </c>
      <c r="E25" s="4">
        <v>116</v>
      </c>
      <c r="F25" s="4">
        <v>14400</v>
      </c>
      <c r="G25" s="4">
        <v>25000</v>
      </c>
      <c r="H25" s="29">
        <f>MAX(F25,G25)</f>
        <v>25000</v>
      </c>
      <c r="I25" s="4">
        <f>E25*(H25-F25)</f>
        <v>1229600</v>
      </c>
      <c r="J25" s="4">
        <f t="shared" si="1"/>
        <v>1440024.2637840002</v>
      </c>
      <c r="K25" s="3"/>
      <c r="L25" s="3">
        <v>2</v>
      </c>
    </row>
    <row r="26" spans="1:12" x14ac:dyDescent="0.25">
      <c r="A26" s="3">
        <v>20</v>
      </c>
      <c r="B26" s="3" t="s">
        <v>85</v>
      </c>
      <c r="C26" s="3" t="s">
        <v>24</v>
      </c>
      <c r="D26" s="3" t="s">
        <v>64</v>
      </c>
      <c r="E26" s="4">
        <v>3</v>
      </c>
      <c r="F26" s="4">
        <v>950000</v>
      </c>
      <c r="G26" s="4">
        <v>1260000</v>
      </c>
      <c r="H26" s="29">
        <f>MAX(F26,G26)</f>
        <v>1260000</v>
      </c>
      <c r="I26" s="4">
        <f>E26*(H26-F26)</f>
        <v>930000</v>
      </c>
      <c r="J26" s="4">
        <f t="shared" si="1"/>
        <v>1089153.0297000001</v>
      </c>
      <c r="K26" s="3" t="s">
        <v>86</v>
      </c>
      <c r="L26" s="3">
        <v>2</v>
      </c>
    </row>
    <row r="27" spans="1:12" x14ac:dyDescent="0.25">
      <c r="A27" s="3">
        <v>21</v>
      </c>
      <c r="B27" s="3" t="s">
        <v>87</v>
      </c>
      <c r="C27" s="3" t="s">
        <v>24</v>
      </c>
      <c r="D27" s="3" t="s">
        <v>72</v>
      </c>
      <c r="E27" s="4">
        <v>300</v>
      </c>
      <c r="F27" s="4">
        <v>11900</v>
      </c>
      <c r="G27" s="4">
        <v>15000</v>
      </c>
      <c r="H27" s="29">
        <f>MAX(F27,G27)</f>
        <v>15000</v>
      </c>
      <c r="I27" s="4">
        <f>E27*(H27-F27)</f>
        <v>930000</v>
      </c>
      <c r="J27" s="4">
        <f t="shared" si="1"/>
        <v>1089153.0297000001</v>
      </c>
      <c r="K27" s="3" t="s">
        <v>88</v>
      </c>
      <c r="L27" s="3">
        <v>2</v>
      </c>
    </row>
    <row r="28" spans="1:12" x14ac:dyDescent="0.25">
      <c r="A28" s="3">
        <v>22</v>
      </c>
      <c r="B28" s="3" t="s">
        <v>85</v>
      </c>
      <c r="C28" s="3" t="s">
        <v>63</v>
      </c>
      <c r="D28" s="3" t="s">
        <v>64</v>
      </c>
      <c r="E28" s="4">
        <v>3</v>
      </c>
      <c r="F28" s="4">
        <v>950000</v>
      </c>
      <c r="G28" s="4">
        <v>1260000</v>
      </c>
      <c r="H28" s="29">
        <f>MAX(F28,G28)</f>
        <v>1260000</v>
      </c>
      <c r="I28" s="4">
        <f>E28*(H28-F28)</f>
        <v>930000</v>
      </c>
      <c r="J28" s="4">
        <f t="shared" si="1"/>
        <v>1089153.0297000001</v>
      </c>
      <c r="K28" s="3" t="s">
        <v>86</v>
      </c>
      <c r="L28" s="3">
        <v>2</v>
      </c>
    </row>
    <row r="29" spans="1:12" x14ac:dyDescent="0.25">
      <c r="A29" s="3">
        <v>23</v>
      </c>
      <c r="B29" s="3" t="s">
        <v>82</v>
      </c>
      <c r="C29" s="3" t="s">
        <v>24</v>
      </c>
      <c r="D29" s="3" t="s">
        <v>64</v>
      </c>
      <c r="E29" s="4">
        <v>17</v>
      </c>
      <c r="F29" s="4">
        <v>320000</v>
      </c>
      <c r="G29" s="4">
        <v>368000</v>
      </c>
      <c r="H29" s="29">
        <f>MAX(F29,G29)</f>
        <v>368000</v>
      </c>
      <c r="I29" s="4">
        <f>E29*(H29-F29)</f>
        <v>816000</v>
      </c>
      <c r="J29" s="4">
        <f t="shared" si="1"/>
        <v>955643.94864000008</v>
      </c>
      <c r="K29" s="3"/>
      <c r="L29" s="3">
        <v>2</v>
      </c>
    </row>
    <row r="30" spans="1:12" x14ac:dyDescent="0.25">
      <c r="A30" s="3">
        <v>24</v>
      </c>
      <c r="B30" s="3" t="s">
        <v>89</v>
      </c>
      <c r="C30" s="3" t="s">
        <v>24</v>
      </c>
      <c r="D30" s="3" t="s">
        <v>78</v>
      </c>
      <c r="E30" s="4">
        <v>5</v>
      </c>
      <c r="F30" s="4">
        <v>163636</v>
      </c>
      <c r="G30" s="4">
        <v>300000</v>
      </c>
      <c r="H30" s="29">
        <f>MAX(F30,G30)</f>
        <v>300000</v>
      </c>
      <c r="I30" s="4">
        <f>E30*(H30-F30)</f>
        <v>681820</v>
      </c>
      <c r="J30" s="4">
        <f t="shared" si="1"/>
        <v>798501.41796780005</v>
      </c>
      <c r="K30" s="3" t="s">
        <v>90</v>
      </c>
      <c r="L30" s="3">
        <v>2</v>
      </c>
    </row>
    <row r="31" spans="1:12" x14ac:dyDescent="0.25">
      <c r="A31" s="3">
        <v>25</v>
      </c>
      <c r="B31" s="3" t="s">
        <v>80</v>
      </c>
      <c r="C31" s="3" t="s">
        <v>24</v>
      </c>
      <c r="D31" s="3" t="s">
        <v>78</v>
      </c>
      <c r="E31" s="4">
        <v>17</v>
      </c>
      <c r="F31" s="4">
        <v>560000</v>
      </c>
      <c r="G31" s="4">
        <v>600000</v>
      </c>
      <c r="H31" s="29">
        <f>MAX(F31,G31)</f>
        <v>600000</v>
      </c>
      <c r="I31" s="4">
        <f>E31*(H31-F31)</f>
        <v>680000</v>
      </c>
      <c r="J31" s="4">
        <f t="shared" si="1"/>
        <v>796369.95720000006</v>
      </c>
      <c r="K31" s="3" t="s">
        <v>81</v>
      </c>
      <c r="L31" s="3">
        <v>2</v>
      </c>
    </row>
    <row r="32" spans="1:12" x14ac:dyDescent="0.25">
      <c r="A32" s="3">
        <v>26</v>
      </c>
      <c r="B32" s="3" t="s">
        <v>91</v>
      </c>
      <c r="C32" s="3" t="s">
        <v>24</v>
      </c>
      <c r="D32" s="3" t="s">
        <v>78</v>
      </c>
      <c r="E32" s="4">
        <v>1</v>
      </c>
      <c r="F32" s="4">
        <v>5500000</v>
      </c>
      <c r="G32" s="4">
        <v>6150000</v>
      </c>
      <c r="H32" s="29">
        <f>MAX(F32,G32)</f>
        <v>6150000</v>
      </c>
      <c r="I32" s="4">
        <f>E32*(H32-F32)</f>
        <v>650000</v>
      </c>
      <c r="J32" s="4">
        <f t="shared" si="1"/>
        <v>761235.98850000009</v>
      </c>
      <c r="K32" s="3"/>
      <c r="L32" s="3">
        <v>2</v>
      </c>
    </row>
    <row r="33" spans="1:12" x14ac:dyDescent="0.25">
      <c r="A33" s="3">
        <v>27</v>
      </c>
      <c r="B33" s="3" t="s">
        <v>87</v>
      </c>
      <c r="C33" s="3" t="s">
        <v>63</v>
      </c>
      <c r="D33" s="3" t="s">
        <v>72</v>
      </c>
      <c r="E33" s="4">
        <v>200</v>
      </c>
      <c r="F33" s="4">
        <v>11900</v>
      </c>
      <c r="G33" s="4">
        <v>15000</v>
      </c>
      <c r="H33" s="29">
        <f>MAX(F33,G33)</f>
        <v>15000</v>
      </c>
      <c r="I33" s="4">
        <f>E33*(H33-F33)</f>
        <v>620000</v>
      </c>
      <c r="J33" s="4">
        <f t="shared" si="1"/>
        <v>726102.01980000001</v>
      </c>
      <c r="K33" s="3" t="s">
        <v>88</v>
      </c>
      <c r="L33" s="3">
        <v>2</v>
      </c>
    </row>
    <row r="34" spans="1:12" x14ac:dyDescent="0.25">
      <c r="A34" s="27" t="s">
        <v>92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</row>
    <row r="35" spans="1:12" ht="30" x14ac:dyDescent="0.25">
      <c r="A35" s="3">
        <v>28</v>
      </c>
      <c r="B35" s="3" t="s">
        <v>93</v>
      </c>
      <c r="C35" s="3" t="s">
        <v>24</v>
      </c>
      <c r="D35" s="3" t="s">
        <v>64</v>
      </c>
      <c r="E35" s="4">
        <v>40</v>
      </c>
      <c r="F35" s="4">
        <v>650000</v>
      </c>
      <c r="G35" s="4">
        <v>53000</v>
      </c>
      <c r="H35" s="29">
        <v>65000</v>
      </c>
      <c r="I35" s="4">
        <f>E35*(H35-F35)</f>
        <v>-23400000</v>
      </c>
      <c r="J35" s="4">
        <f>I35*$G$2</f>
        <v>-27404495.586000003</v>
      </c>
      <c r="K35" s="3" t="s">
        <v>94</v>
      </c>
      <c r="L35" s="3">
        <v>1</v>
      </c>
    </row>
    <row r="37" spans="1:12" x14ac:dyDescent="0.25">
      <c r="B37" s="1" t="s">
        <v>95</v>
      </c>
    </row>
    <row r="38" spans="1:12" x14ac:dyDescent="0.25">
      <c r="B38" s="3" t="s">
        <v>96</v>
      </c>
      <c r="J38" s="4">
        <f>SUM(J6:J11)</f>
        <v>45554000</v>
      </c>
    </row>
    <row r="39" spans="1:12" x14ac:dyDescent="0.25">
      <c r="B39" s="3" t="s">
        <v>97</v>
      </c>
      <c r="J39" s="4">
        <f>SUM(J13:J33)</f>
        <v>86902876.1170035</v>
      </c>
    </row>
    <row r="40" spans="1:12" x14ac:dyDescent="0.25">
      <c r="B40" s="3" t="s">
        <v>98</v>
      </c>
      <c r="J40" s="4">
        <f>SUM(J35:J35)</f>
        <v>-27404495.586000003</v>
      </c>
    </row>
    <row r="41" spans="1:12" x14ac:dyDescent="0.25">
      <c r="B41" s="6" t="s">
        <v>99</v>
      </c>
      <c r="J41" s="30">
        <f>SUM(J38:J40)</f>
        <v>105052380.5310035</v>
      </c>
    </row>
    <row r="42" spans="1:12" x14ac:dyDescent="0.25">
      <c r="B42" s="3" t="s">
        <v>100</v>
      </c>
      <c r="J42" s="4">
        <f>SUMIF(L5:L35,1,J5:J35)</f>
        <v>57910635.389961503</v>
      </c>
    </row>
    <row r="43" spans="1:12" ht="30" x14ac:dyDescent="0.25">
      <c r="B43" s="3" t="s">
        <v>101</v>
      </c>
      <c r="J43" s="4">
        <f>J41*$J$2</f>
        <v>130685161.38056836</v>
      </c>
    </row>
    <row r="44" spans="1:12" ht="30" x14ac:dyDescent="0.25">
      <c r="B44" s="3" t="s">
        <v>102</v>
      </c>
      <c r="J44" s="4">
        <f>J42*$J$2</f>
        <v>72040830.425112113</v>
      </c>
    </row>
    <row r="45" spans="1:12" ht="30" x14ac:dyDescent="0.25">
      <c r="B45" s="3" t="s">
        <v>103</v>
      </c>
      <c r="J45" s="4">
        <v>3763000000</v>
      </c>
    </row>
    <row r="46" spans="1:12" x14ac:dyDescent="0.25">
      <c r="B46" s="6" t="s">
        <v>104</v>
      </c>
      <c r="J46" s="30">
        <f>J45+J43</f>
        <v>3893685161.3805685</v>
      </c>
    </row>
    <row r="47" spans="1:12" x14ac:dyDescent="0.25">
      <c r="B47" s="6" t="s">
        <v>105</v>
      </c>
      <c r="J47" s="30">
        <f>J45+J44</f>
        <v>3835040830.4251122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"/>
  <sheetViews>
    <sheetView workbookViewId="0">
      <pane xSplit="2" ySplit="3" topLeftCell="C4" activePane="bottomRight" state="frozen"/>
      <selection pane="topRight"/>
      <selection pane="bottomLeft"/>
      <selection pane="bottomRight" activeCell="D10" sqref="D10"/>
    </sheetView>
  </sheetViews>
  <sheetFormatPr defaultRowHeight="15" x14ac:dyDescent="0.25"/>
  <cols>
    <col min="1" max="1" width="14" customWidth="1"/>
    <col min="2" max="2" width="20" customWidth="1"/>
    <col min="3" max="3" width="14" customWidth="1"/>
    <col min="4" max="6" width="13" customWidth="1"/>
    <col min="7" max="7" width="14" customWidth="1"/>
    <col min="8" max="8" width="15" customWidth="1"/>
    <col min="9" max="9" width="14" customWidth="1"/>
    <col min="10" max="10" width="13" customWidth="1"/>
    <col min="11" max="11" width="12" customWidth="1"/>
    <col min="12" max="13" width="15" customWidth="1"/>
    <col min="14" max="14" width="8" customWidth="1"/>
    <col min="15" max="15" width="15" customWidth="1"/>
    <col min="16" max="16" width="16" customWidth="1"/>
    <col min="17" max="17" width="10" customWidth="1"/>
    <col min="18" max="18" width="14.28515625" customWidth="1"/>
  </cols>
  <sheetData>
    <row r="1" spans="1:21" ht="17.25" x14ac:dyDescent="0.3">
      <c r="A1" s="14" t="s">
        <v>106</v>
      </c>
    </row>
    <row r="2" spans="1:21" x14ac:dyDescent="0.25">
      <c r="T2" t="s">
        <v>107</v>
      </c>
      <c r="U2" s="15">
        <f>(1+7.3%+1.1%+2.5%)*(1+5.5%)</f>
        <v>1.1699949999999997</v>
      </c>
    </row>
    <row r="3" spans="1:21" ht="39.950000000000003" customHeight="1" x14ac:dyDescent="0.25">
      <c r="A3" s="2" t="s">
        <v>108</v>
      </c>
      <c r="B3" s="2" t="s">
        <v>109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119</v>
      </c>
      <c r="M3" s="2" t="s">
        <v>5</v>
      </c>
      <c r="N3" s="2" t="s">
        <v>6</v>
      </c>
      <c r="O3" s="16" t="s">
        <v>32</v>
      </c>
      <c r="P3" s="16" t="s">
        <v>120</v>
      </c>
      <c r="Q3" s="16" t="s">
        <v>34</v>
      </c>
      <c r="R3" s="16" t="s">
        <v>121</v>
      </c>
    </row>
    <row r="4" spans="1:21" x14ac:dyDescent="0.25">
      <c r="A4" s="3" t="s">
        <v>24</v>
      </c>
      <c r="B4" s="3" t="s">
        <v>122</v>
      </c>
      <c r="C4" s="4">
        <v>219008000</v>
      </c>
      <c r="D4" s="4">
        <v>84840000</v>
      </c>
      <c r="E4" s="4">
        <v>15192400</v>
      </c>
      <c r="F4" s="4">
        <v>59936000</v>
      </c>
      <c r="G4" s="4">
        <f t="shared" ref="G4:G11" si="0">SUM(C4:F4)</f>
        <v>378976400</v>
      </c>
      <c r="H4" s="4">
        <f t="shared" ref="H4:H11" si="1">G4*$U$2</f>
        <v>443400493.11799985</v>
      </c>
      <c r="I4" s="4">
        <v>226135355</v>
      </c>
      <c r="J4" s="4">
        <v>172869429</v>
      </c>
      <c r="K4" s="4">
        <v>41640000</v>
      </c>
      <c r="L4" s="4">
        <f t="shared" ref="L4:L11" si="2">SUM(I4:K4)</f>
        <v>440644784</v>
      </c>
      <c r="M4" s="4">
        <f t="shared" ref="M4:M11" si="3">L4-H4</f>
        <v>-2755709.1179998517</v>
      </c>
      <c r="N4" s="5">
        <f t="shared" ref="N4:N14" si="4">M4/H4</f>
        <v>-6.214943737706871E-3</v>
      </c>
      <c r="O4" s="4">
        <f>SUMIFS('Gia von chi tiet'!$L:$L,'Gia von chi tiet'!$B:$B,B4)</f>
        <v>264763942.33333331</v>
      </c>
      <c r="P4" s="4">
        <f t="shared" ref="P4:P11" si="5">L4-O4</f>
        <v>175880841.66666669</v>
      </c>
      <c r="Q4" s="5">
        <f t="shared" ref="Q4:Q14" si="6">P4/L4</f>
        <v>0.39914427233221644</v>
      </c>
      <c r="R4" s="5">
        <f t="shared" ref="R4:R14" si="7">G4/O4-1</f>
        <v>0.43137466778944966</v>
      </c>
    </row>
    <row r="5" spans="1:21" x14ac:dyDescent="0.25">
      <c r="A5" s="3" t="s">
        <v>24</v>
      </c>
      <c r="B5" s="3" t="s">
        <v>123</v>
      </c>
      <c r="C5" s="4">
        <v>242563000</v>
      </c>
      <c r="D5" s="4">
        <v>82078000</v>
      </c>
      <c r="E5" s="4">
        <v>16232050</v>
      </c>
      <c r="F5" s="4">
        <v>60428800</v>
      </c>
      <c r="G5" s="4">
        <f t="shared" si="0"/>
        <v>401301850</v>
      </c>
      <c r="H5" s="4">
        <f t="shared" si="1"/>
        <v>469521157.9907499</v>
      </c>
      <c r="I5" s="4">
        <v>241326764</v>
      </c>
      <c r="J5" s="4">
        <v>128944866</v>
      </c>
      <c r="K5" s="4">
        <v>39600000</v>
      </c>
      <c r="L5" s="4">
        <f t="shared" si="2"/>
        <v>409871630</v>
      </c>
      <c r="M5" s="4">
        <f t="shared" si="3"/>
        <v>-59649527.990749896</v>
      </c>
      <c r="N5" s="5">
        <f t="shared" si="4"/>
        <v>-0.12704332270352139</v>
      </c>
      <c r="O5" s="4">
        <f>SUMIFS('Gia von chi tiet'!$L:$L,'Gia von chi tiet'!$B:$B,B5)</f>
        <v>275688529</v>
      </c>
      <c r="P5" s="4">
        <f t="shared" si="5"/>
        <v>134183101</v>
      </c>
      <c r="Q5" s="5">
        <f t="shared" si="6"/>
        <v>0.32737835746279875</v>
      </c>
      <c r="R5" s="5">
        <f t="shared" si="7"/>
        <v>0.45563492052293553</v>
      </c>
    </row>
    <row r="6" spans="1:21" x14ac:dyDescent="0.25">
      <c r="A6" s="3" t="s">
        <v>24</v>
      </c>
      <c r="B6" s="3" t="s">
        <v>124</v>
      </c>
      <c r="C6" s="4">
        <v>257102000</v>
      </c>
      <c r="D6" s="4">
        <v>83020000</v>
      </c>
      <c r="E6" s="4">
        <v>14781100</v>
      </c>
      <c r="F6" s="4">
        <v>140934400</v>
      </c>
      <c r="G6" s="4">
        <f t="shared" si="0"/>
        <v>495837500</v>
      </c>
      <c r="H6" s="4">
        <f t="shared" si="1"/>
        <v>580127395.81249988</v>
      </c>
      <c r="I6" s="4">
        <v>267381032</v>
      </c>
      <c r="J6" s="4">
        <v>178147296</v>
      </c>
      <c r="K6" s="4">
        <v>39350000</v>
      </c>
      <c r="L6" s="4">
        <f t="shared" si="2"/>
        <v>484878328</v>
      </c>
      <c r="M6" s="4">
        <f t="shared" si="3"/>
        <v>-95249067.812499881</v>
      </c>
      <c r="N6" s="5">
        <f t="shared" si="4"/>
        <v>-0.16418646748978022</v>
      </c>
      <c r="O6" s="4">
        <f>SUMIFS('Gia von chi tiet'!$L:$L,'Gia von chi tiet'!$B:$B,B6)</f>
        <v>363302832</v>
      </c>
      <c r="P6" s="4">
        <f t="shared" si="5"/>
        <v>121575496</v>
      </c>
      <c r="Q6" s="5">
        <f t="shared" si="6"/>
        <v>0.25073402744450973</v>
      </c>
      <c r="R6" s="5">
        <f t="shared" si="7"/>
        <v>0.36480494046905743</v>
      </c>
    </row>
    <row r="7" spans="1:21" ht="30" x14ac:dyDescent="0.25">
      <c r="A7" s="3" t="s">
        <v>125</v>
      </c>
      <c r="B7" s="3" t="s">
        <v>126</v>
      </c>
      <c r="C7" s="4">
        <v>143038000</v>
      </c>
      <c r="D7" s="4">
        <v>5310000</v>
      </c>
      <c r="E7" s="4">
        <v>7417400</v>
      </c>
      <c r="F7" s="4">
        <v>5192000</v>
      </c>
      <c r="G7" s="4">
        <f t="shared" si="0"/>
        <v>160957400</v>
      </c>
      <c r="H7" s="4">
        <f t="shared" si="1"/>
        <v>188319353.21299994</v>
      </c>
      <c r="I7" s="4">
        <v>107656356</v>
      </c>
      <c r="J7" s="4">
        <v>40180788</v>
      </c>
      <c r="K7" s="4">
        <v>1500000</v>
      </c>
      <c r="L7" s="4">
        <f t="shared" si="2"/>
        <v>149337144</v>
      </c>
      <c r="M7" s="4">
        <f t="shared" si="3"/>
        <v>-38982209.21299994</v>
      </c>
      <c r="N7" s="5">
        <f t="shared" si="4"/>
        <v>-0.20700054746316399</v>
      </c>
      <c r="O7" s="4">
        <f>SUMIFS('Gia von chi tiet'!$L:$L,'Gia von chi tiet'!$B:$B,B7)</f>
        <v>115405554.66666666</v>
      </c>
      <c r="P7" s="4">
        <f t="shared" si="5"/>
        <v>33931589.333333343</v>
      </c>
      <c r="Q7" s="5">
        <f t="shared" si="6"/>
        <v>0.2272146662543201</v>
      </c>
      <c r="R7" s="5">
        <f t="shared" si="7"/>
        <v>0.39471102985383744</v>
      </c>
    </row>
    <row r="8" spans="1:21" ht="30" x14ac:dyDescent="0.25">
      <c r="A8" s="3" t="s">
        <v>125</v>
      </c>
      <c r="B8" s="3" t="s">
        <v>127</v>
      </c>
      <c r="C8" s="4">
        <v>147256000</v>
      </c>
      <c r="D8" s="4">
        <v>4248000</v>
      </c>
      <c r="E8" s="4">
        <v>6171200</v>
      </c>
      <c r="F8" s="4">
        <v>52488000</v>
      </c>
      <c r="G8" s="4">
        <f t="shared" si="0"/>
        <v>210163200</v>
      </c>
      <c r="H8" s="4">
        <f t="shared" si="1"/>
        <v>245889893.18399993</v>
      </c>
      <c r="I8" s="4">
        <v>125125607</v>
      </c>
      <c r="J8" s="4">
        <v>80939591</v>
      </c>
      <c r="K8" s="4">
        <v>1200000</v>
      </c>
      <c r="L8" s="4">
        <f t="shared" si="2"/>
        <v>207265198</v>
      </c>
      <c r="M8" s="4">
        <f t="shared" si="3"/>
        <v>-38624695.183999926</v>
      </c>
      <c r="N8" s="5">
        <f t="shared" si="4"/>
        <v>-0.15708126382850957</v>
      </c>
      <c r="O8" s="4">
        <f>SUMIFS('Gia von chi tiet'!$L:$L,'Gia von chi tiet'!$B:$B,B8)</f>
        <v>158289369</v>
      </c>
      <c r="P8" s="4">
        <f t="shared" si="5"/>
        <v>48975829</v>
      </c>
      <c r="Q8" s="5">
        <f t="shared" si="6"/>
        <v>0.23629547783511634</v>
      </c>
      <c r="R8" s="5">
        <f t="shared" si="7"/>
        <v>0.32771519229443635</v>
      </c>
    </row>
    <row r="9" spans="1:21" ht="30" x14ac:dyDescent="0.25">
      <c r="A9" s="3" t="s">
        <v>125</v>
      </c>
      <c r="B9" s="3" t="s">
        <v>128</v>
      </c>
      <c r="C9" s="4">
        <v>507418000</v>
      </c>
      <c r="D9" s="4">
        <v>12071000</v>
      </c>
      <c r="E9" s="4">
        <v>22756450</v>
      </c>
      <c r="F9" s="4">
        <v>39480000</v>
      </c>
      <c r="G9" s="4">
        <f t="shared" si="0"/>
        <v>581725450</v>
      </c>
      <c r="H9" s="4">
        <f t="shared" si="1"/>
        <v>680615867.87274981</v>
      </c>
      <c r="I9" s="4">
        <v>505434825</v>
      </c>
      <c r="J9" s="4">
        <v>119164170</v>
      </c>
      <c r="K9" s="4">
        <v>6950000</v>
      </c>
      <c r="L9" s="4">
        <f t="shared" si="2"/>
        <v>631548995</v>
      </c>
      <c r="M9" s="4">
        <f t="shared" si="3"/>
        <v>-49066872.872749805</v>
      </c>
      <c r="N9" s="5">
        <f t="shared" si="4"/>
        <v>-7.2091873241373658E-2</v>
      </c>
      <c r="O9" s="4">
        <f>SUMIFS('Gia von chi tiet'!$L:$L,'Gia von chi tiet'!$B:$B,B9)</f>
        <v>375253011.33333337</v>
      </c>
      <c r="P9" s="4">
        <f t="shared" si="5"/>
        <v>256295983.66666663</v>
      </c>
      <c r="Q9" s="5">
        <f t="shared" si="6"/>
        <v>0.40582122004115712</v>
      </c>
      <c r="R9" s="5">
        <f t="shared" si="7"/>
        <v>0.55022193674885478</v>
      </c>
    </row>
    <row r="10" spans="1:21" ht="30" x14ac:dyDescent="0.25">
      <c r="A10" s="3" t="s">
        <v>125</v>
      </c>
      <c r="B10" s="3" t="s">
        <v>129</v>
      </c>
      <c r="C10" s="4">
        <v>385550400</v>
      </c>
      <c r="D10" s="4">
        <v>13206000</v>
      </c>
      <c r="E10" s="4">
        <v>17491320</v>
      </c>
      <c r="F10" s="4">
        <v>35960000</v>
      </c>
      <c r="G10" s="4">
        <f t="shared" si="0"/>
        <v>452207720</v>
      </c>
      <c r="H10" s="4">
        <f t="shared" si="1"/>
        <v>529080771.36139983</v>
      </c>
      <c r="I10" s="4">
        <v>391556458</v>
      </c>
      <c r="J10" s="4">
        <v>102276318</v>
      </c>
      <c r="K10" s="4">
        <v>7150000</v>
      </c>
      <c r="L10" s="4">
        <f t="shared" si="2"/>
        <v>500982776</v>
      </c>
      <c r="M10" s="4">
        <f t="shared" si="3"/>
        <v>-28097995.361399829</v>
      </c>
      <c r="N10" s="5">
        <f t="shared" si="4"/>
        <v>-5.3107194368639976E-2</v>
      </c>
      <c r="O10" s="4">
        <f>SUMIFS('Gia von chi tiet'!$L:$L,'Gia von chi tiet'!$B:$B,B10)</f>
        <v>289636045</v>
      </c>
      <c r="P10" s="4">
        <f t="shared" si="5"/>
        <v>211346731</v>
      </c>
      <c r="Q10" s="5">
        <f t="shared" si="6"/>
        <v>0.42186426584853287</v>
      </c>
      <c r="R10" s="5">
        <f t="shared" si="7"/>
        <v>0.5612964194425456</v>
      </c>
    </row>
    <row r="11" spans="1:21" ht="30" x14ac:dyDescent="0.25">
      <c r="A11" s="3" t="s">
        <v>125</v>
      </c>
      <c r="B11" s="3" t="s">
        <v>130</v>
      </c>
      <c r="C11" s="4">
        <v>124124000</v>
      </c>
      <c r="D11" s="4">
        <v>2655000</v>
      </c>
      <c r="E11" s="4">
        <v>6338950</v>
      </c>
      <c r="F11" s="4">
        <v>6600000</v>
      </c>
      <c r="G11" s="4">
        <f t="shared" si="0"/>
        <v>139717950</v>
      </c>
      <c r="H11" s="4">
        <f t="shared" si="1"/>
        <v>163469302.91024995</v>
      </c>
      <c r="I11" s="4">
        <v>99350403</v>
      </c>
      <c r="J11" s="4">
        <v>40448872</v>
      </c>
      <c r="K11" s="4">
        <v>750000</v>
      </c>
      <c r="L11" s="4">
        <f t="shared" si="2"/>
        <v>140549275</v>
      </c>
      <c r="M11" s="4">
        <f t="shared" si="3"/>
        <v>-22920027.910249949</v>
      </c>
      <c r="N11" s="5">
        <f t="shared" si="4"/>
        <v>-0.14020998133719212</v>
      </c>
      <c r="O11" s="4">
        <f>SUMIFS('Gia von chi tiet'!$L:$L,'Gia von chi tiet'!$B:$B,B11)</f>
        <v>98140896</v>
      </c>
      <c r="P11" s="4">
        <f t="shared" si="5"/>
        <v>42408379</v>
      </c>
      <c r="Q11" s="5">
        <f t="shared" si="6"/>
        <v>0.30173317507329722</v>
      </c>
      <c r="R11" s="5">
        <f t="shared" si="7"/>
        <v>0.42364657033496012</v>
      </c>
    </row>
    <row r="12" spans="1:21" x14ac:dyDescent="0.25">
      <c r="A12" s="11" t="s">
        <v>24</v>
      </c>
      <c r="B12" s="11" t="s">
        <v>131</v>
      </c>
      <c r="C12" s="12">
        <f t="shared" ref="C12:M12" si="8">SUM(C4:C6)</f>
        <v>718673000</v>
      </c>
      <c r="D12" s="12">
        <f t="shared" si="8"/>
        <v>249938000</v>
      </c>
      <c r="E12" s="12">
        <f t="shared" si="8"/>
        <v>46205550</v>
      </c>
      <c r="F12" s="12">
        <f t="shared" si="8"/>
        <v>261299200</v>
      </c>
      <c r="G12" s="12">
        <f t="shared" si="8"/>
        <v>1276115750</v>
      </c>
      <c r="H12" s="12">
        <f t="shared" si="8"/>
        <v>1493049046.9212496</v>
      </c>
      <c r="I12" s="12">
        <f t="shared" si="8"/>
        <v>734843151</v>
      </c>
      <c r="J12" s="12">
        <f t="shared" si="8"/>
        <v>479961591</v>
      </c>
      <c r="K12" s="12">
        <f t="shared" si="8"/>
        <v>120590000</v>
      </c>
      <c r="L12" s="12">
        <f t="shared" si="8"/>
        <v>1335394742</v>
      </c>
      <c r="M12" s="12">
        <f t="shared" si="8"/>
        <v>-157654304.92124963</v>
      </c>
      <c r="N12" s="13">
        <f t="shared" si="4"/>
        <v>-0.10559218081036359</v>
      </c>
      <c r="O12" s="12">
        <f>SUM(O4:O6)</f>
        <v>903755303.33333325</v>
      </c>
      <c r="P12" s="12">
        <f>SUM(P4:P6)</f>
        <v>431639438.66666669</v>
      </c>
      <c r="Q12" s="13">
        <f t="shared" si="6"/>
        <v>0.32322984739344335</v>
      </c>
      <c r="R12" s="13">
        <f t="shared" si="7"/>
        <v>0.41201467398673564</v>
      </c>
    </row>
    <row r="13" spans="1:21" ht="30" x14ac:dyDescent="0.25">
      <c r="A13" s="11" t="s">
        <v>125</v>
      </c>
      <c r="B13" s="11" t="s">
        <v>132</v>
      </c>
      <c r="C13" s="12">
        <f t="shared" ref="C13:M13" si="9">SUM(C7:C11)</f>
        <v>1307386400</v>
      </c>
      <c r="D13" s="12">
        <f t="shared" si="9"/>
        <v>37490000</v>
      </c>
      <c r="E13" s="12">
        <f t="shared" si="9"/>
        <v>60175320</v>
      </c>
      <c r="F13" s="12">
        <f t="shared" si="9"/>
        <v>139720000</v>
      </c>
      <c r="G13" s="12">
        <f t="shared" si="9"/>
        <v>1544771720</v>
      </c>
      <c r="H13" s="12">
        <f t="shared" si="9"/>
        <v>1807375188.5413995</v>
      </c>
      <c r="I13" s="12">
        <f t="shared" si="9"/>
        <v>1229123649</v>
      </c>
      <c r="J13" s="12">
        <f t="shared" si="9"/>
        <v>383009739</v>
      </c>
      <c r="K13" s="12">
        <f t="shared" si="9"/>
        <v>17550000</v>
      </c>
      <c r="L13" s="12">
        <f t="shared" si="9"/>
        <v>1629683388</v>
      </c>
      <c r="M13" s="12">
        <f t="shared" si="9"/>
        <v>-177691800.54139945</v>
      </c>
      <c r="N13" s="13">
        <f t="shared" si="4"/>
        <v>-9.8314838926610207E-2</v>
      </c>
      <c r="O13" s="12">
        <f>SUM(O7:O11)</f>
        <v>1036724876</v>
      </c>
      <c r="P13" s="12">
        <f>SUM(P7:P11)</f>
        <v>592958512</v>
      </c>
      <c r="Q13" s="13">
        <f t="shared" si="6"/>
        <v>0.36384890241023921</v>
      </c>
      <c r="R13" s="13">
        <f t="shared" si="7"/>
        <v>0.49004982494507066</v>
      </c>
    </row>
    <row r="14" spans="1:21" x14ac:dyDescent="0.25">
      <c r="A14" s="17"/>
      <c r="B14" s="17" t="s">
        <v>39</v>
      </c>
      <c r="C14" s="18">
        <f t="shared" ref="C14:M14" si="10">SUM(C4:C11)</f>
        <v>2026059400</v>
      </c>
      <c r="D14" s="18">
        <f t="shared" si="10"/>
        <v>287428000</v>
      </c>
      <c r="E14" s="18">
        <f t="shared" si="10"/>
        <v>106380870</v>
      </c>
      <c r="F14" s="18">
        <f t="shared" si="10"/>
        <v>401019200</v>
      </c>
      <c r="G14" s="18">
        <f t="shared" si="10"/>
        <v>2820887470</v>
      </c>
      <c r="H14" s="18">
        <f t="shared" si="10"/>
        <v>3300424235.4626493</v>
      </c>
      <c r="I14" s="18">
        <f t="shared" si="10"/>
        <v>1963966800</v>
      </c>
      <c r="J14" s="18">
        <f t="shared" si="10"/>
        <v>862971330</v>
      </c>
      <c r="K14" s="18">
        <f t="shared" si="10"/>
        <v>138140000</v>
      </c>
      <c r="L14" s="18">
        <f t="shared" si="10"/>
        <v>2965078130</v>
      </c>
      <c r="M14" s="18">
        <f t="shared" si="10"/>
        <v>-335346105.46264905</v>
      </c>
      <c r="N14" s="19">
        <f t="shared" si="4"/>
        <v>-0.10160696975237204</v>
      </c>
      <c r="O14" s="18">
        <f>SUM(O4:O11)</f>
        <v>1940480179.3333335</v>
      </c>
      <c r="P14" s="18">
        <f>SUM(P4:P11)</f>
        <v>1024597950.6666666</v>
      </c>
      <c r="Q14" s="19">
        <f t="shared" si="6"/>
        <v>0.34555512730002386</v>
      </c>
      <c r="R14" s="19">
        <f t="shared" si="7"/>
        <v>0.45370589199686484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6"/>
  <sheetViews>
    <sheetView workbookViewId="0">
      <pane xSplit="3" ySplit="3" topLeftCell="D32" activePane="bottomRight" state="frozen"/>
      <selection pane="topRight"/>
      <selection pane="bottomLeft"/>
      <selection pane="bottomRight" activeCell="A2" sqref="A2:XFD2"/>
    </sheetView>
  </sheetViews>
  <sheetFormatPr defaultRowHeight="15" x14ac:dyDescent="0.25"/>
  <cols>
    <col min="1" max="1" width="13" customWidth="1"/>
    <col min="2" max="2" width="18" customWidth="1"/>
    <col min="3" max="3" width="44" customWidth="1"/>
    <col min="4" max="4" width="6" customWidth="1"/>
    <col min="5" max="5" width="8" customWidth="1"/>
    <col min="6" max="8" width="12" customWidth="1"/>
    <col min="9" max="10" width="13" customWidth="1"/>
    <col min="11" max="13" width="14" customWidth="1"/>
    <col min="14" max="14" width="22" customWidth="1"/>
    <col min="15" max="15" width="18" customWidth="1"/>
    <col min="16" max="16" width="12" customWidth="1"/>
  </cols>
  <sheetData>
    <row r="1" spans="1:16" ht="17.25" x14ac:dyDescent="0.3">
      <c r="A1" s="14" t="s">
        <v>133</v>
      </c>
    </row>
    <row r="3" spans="1:16" ht="39.950000000000003" customHeight="1" x14ac:dyDescent="0.25">
      <c r="A3" s="2" t="s">
        <v>108</v>
      </c>
      <c r="B3" s="2" t="s">
        <v>109</v>
      </c>
      <c r="C3" s="2" t="s">
        <v>134</v>
      </c>
      <c r="D3" s="2" t="s">
        <v>50</v>
      </c>
      <c r="E3" s="2" t="s">
        <v>51</v>
      </c>
      <c r="F3" s="2" t="s">
        <v>135</v>
      </c>
      <c r="G3" s="2" t="s">
        <v>136</v>
      </c>
      <c r="H3" s="2" t="s">
        <v>137</v>
      </c>
      <c r="I3" s="2" t="s">
        <v>138</v>
      </c>
      <c r="J3" s="2" t="s">
        <v>139</v>
      </c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2" t="s">
        <v>145</v>
      </c>
    </row>
    <row r="4" spans="1:16" ht="30" x14ac:dyDescent="0.25">
      <c r="A4" s="3" t="s">
        <v>24</v>
      </c>
      <c r="B4" s="3" t="s">
        <v>124</v>
      </c>
      <c r="C4" s="3" t="s">
        <v>146</v>
      </c>
      <c r="D4" s="3" t="s">
        <v>64</v>
      </c>
      <c r="E4" s="20">
        <v>1</v>
      </c>
      <c r="F4" s="3" t="s">
        <v>147</v>
      </c>
      <c r="G4" s="4">
        <v>7500000</v>
      </c>
      <c r="H4" s="4">
        <v>1000000</v>
      </c>
      <c r="I4" s="4">
        <f t="shared" ref="I4:I67" si="0">E4*G4</f>
        <v>7500000</v>
      </c>
      <c r="J4" s="4">
        <f t="shared" ref="J4:J67" si="1">E4*H4</f>
        <v>1000000</v>
      </c>
      <c r="K4" s="4">
        <v>12853000</v>
      </c>
      <c r="L4" s="4">
        <f t="shared" ref="L4:L67" si="2">I4+J4</f>
        <v>8500000</v>
      </c>
      <c r="M4" s="4">
        <f t="shared" ref="M4:M67" si="3">K4-L4</f>
        <v>4353000</v>
      </c>
      <c r="N4" s="3" t="s">
        <v>148</v>
      </c>
      <c r="O4" s="3" t="s">
        <v>148</v>
      </c>
      <c r="P4" s="4">
        <f t="shared" ref="P4:P67" si="4">IF(LEFT(N4,3)="Tạm",I4,0)+IF(LEFT(O4,3)="Tạm",J4,0)</f>
        <v>0</v>
      </c>
    </row>
    <row r="5" spans="1:16" ht="30" x14ac:dyDescent="0.25">
      <c r="A5" s="3" t="s">
        <v>24</v>
      </c>
      <c r="B5" s="3" t="s">
        <v>124</v>
      </c>
      <c r="C5" s="3" t="s">
        <v>149</v>
      </c>
      <c r="D5" s="3" t="s">
        <v>64</v>
      </c>
      <c r="E5" s="20">
        <v>5</v>
      </c>
      <c r="F5" s="3" t="s">
        <v>147</v>
      </c>
      <c r="G5" s="4">
        <v>252000</v>
      </c>
      <c r="H5" s="4">
        <v>100000</v>
      </c>
      <c r="I5" s="4">
        <f t="shared" si="0"/>
        <v>1260000</v>
      </c>
      <c r="J5" s="4">
        <f t="shared" si="1"/>
        <v>500000</v>
      </c>
      <c r="K5" s="4">
        <v>4125000</v>
      </c>
      <c r="L5" s="4">
        <f t="shared" si="2"/>
        <v>1760000</v>
      </c>
      <c r="M5" s="4">
        <f t="shared" si="3"/>
        <v>2365000</v>
      </c>
      <c r="N5" s="3" t="s">
        <v>60</v>
      </c>
      <c r="O5" s="3" t="s">
        <v>148</v>
      </c>
      <c r="P5" s="4">
        <f t="shared" si="4"/>
        <v>0</v>
      </c>
    </row>
    <row r="6" spans="1:16" ht="30" x14ac:dyDescent="0.25">
      <c r="A6" s="3" t="s">
        <v>24</v>
      </c>
      <c r="B6" s="3" t="s">
        <v>124</v>
      </c>
      <c r="C6" s="3" t="s">
        <v>150</v>
      </c>
      <c r="D6" s="3" t="s">
        <v>64</v>
      </c>
      <c r="E6" s="20">
        <v>5</v>
      </c>
      <c r="F6" s="3" t="s">
        <v>147</v>
      </c>
      <c r="G6" s="4">
        <v>205000</v>
      </c>
      <c r="H6" s="4">
        <v>100000</v>
      </c>
      <c r="I6" s="4">
        <f t="shared" si="0"/>
        <v>1025000</v>
      </c>
      <c r="J6" s="4">
        <f t="shared" si="1"/>
        <v>500000</v>
      </c>
      <c r="K6" s="4">
        <v>2655000</v>
      </c>
      <c r="L6" s="4">
        <f t="shared" si="2"/>
        <v>1525000</v>
      </c>
      <c r="M6" s="4">
        <f t="shared" si="3"/>
        <v>1130000</v>
      </c>
      <c r="N6" s="3" t="s">
        <v>60</v>
      </c>
      <c r="O6" s="3" t="s">
        <v>148</v>
      </c>
      <c r="P6" s="4">
        <f t="shared" si="4"/>
        <v>0</v>
      </c>
    </row>
    <row r="7" spans="1:16" ht="30" x14ac:dyDescent="0.25">
      <c r="A7" s="3" t="s">
        <v>24</v>
      </c>
      <c r="B7" s="3" t="s">
        <v>124</v>
      </c>
      <c r="C7" s="3" t="s">
        <v>151</v>
      </c>
      <c r="D7" s="3" t="s">
        <v>64</v>
      </c>
      <c r="E7" s="20">
        <v>58</v>
      </c>
      <c r="F7" s="3" t="s">
        <v>147</v>
      </c>
      <c r="G7" s="4">
        <v>242000</v>
      </c>
      <c r="H7" s="4">
        <v>100000</v>
      </c>
      <c r="I7" s="4">
        <f t="shared" si="0"/>
        <v>14036000</v>
      </c>
      <c r="J7" s="4">
        <f t="shared" si="1"/>
        <v>5800000</v>
      </c>
      <c r="K7" s="4">
        <v>32538000</v>
      </c>
      <c r="L7" s="4">
        <f t="shared" si="2"/>
        <v>19836000</v>
      </c>
      <c r="M7" s="4">
        <f t="shared" si="3"/>
        <v>12702000</v>
      </c>
      <c r="N7" s="3" t="s">
        <v>60</v>
      </c>
      <c r="O7" s="3" t="s">
        <v>148</v>
      </c>
      <c r="P7" s="4">
        <f t="shared" si="4"/>
        <v>0</v>
      </c>
    </row>
    <row r="8" spans="1:16" ht="30" x14ac:dyDescent="0.25">
      <c r="A8" s="3" t="s">
        <v>24</v>
      </c>
      <c r="B8" s="3" t="s">
        <v>124</v>
      </c>
      <c r="C8" s="3" t="s">
        <v>77</v>
      </c>
      <c r="D8" s="3" t="s">
        <v>64</v>
      </c>
      <c r="E8" s="20">
        <v>14</v>
      </c>
      <c r="F8" s="3" t="s">
        <v>147</v>
      </c>
      <c r="G8" s="4">
        <v>116000</v>
      </c>
      <c r="H8" s="4">
        <v>100000</v>
      </c>
      <c r="I8" s="4">
        <f t="shared" si="0"/>
        <v>1624000</v>
      </c>
      <c r="J8" s="4">
        <f t="shared" si="1"/>
        <v>1400000</v>
      </c>
      <c r="K8" s="4">
        <v>2534000</v>
      </c>
      <c r="L8" s="4">
        <f t="shared" si="2"/>
        <v>3024000</v>
      </c>
      <c r="M8" s="4">
        <f t="shared" si="3"/>
        <v>-490000</v>
      </c>
      <c r="N8" s="3" t="s">
        <v>60</v>
      </c>
      <c r="O8" s="3" t="s">
        <v>148</v>
      </c>
      <c r="P8" s="4">
        <f t="shared" si="4"/>
        <v>0</v>
      </c>
    </row>
    <row r="9" spans="1:16" ht="30" x14ac:dyDescent="0.25">
      <c r="A9" s="3" t="s">
        <v>24</v>
      </c>
      <c r="B9" s="3" t="s">
        <v>124</v>
      </c>
      <c r="C9" s="3" t="s">
        <v>152</v>
      </c>
      <c r="D9" s="3" t="s">
        <v>64</v>
      </c>
      <c r="E9" s="20">
        <v>3</v>
      </c>
      <c r="F9" s="3" t="s">
        <v>147</v>
      </c>
      <c r="G9" s="4">
        <v>158000</v>
      </c>
      <c r="H9" s="4">
        <v>100000</v>
      </c>
      <c r="I9" s="4">
        <f t="shared" si="0"/>
        <v>474000</v>
      </c>
      <c r="J9" s="4">
        <f t="shared" si="1"/>
        <v>300000</v>
      </c>
      <c r="K9" s="4">
        <v>783000</v>
      </c>
      <c r="L9" s="4">
        <f t="shared" si="2"/>
        <v>774000</v>
      </c>
      <c r="M9" s="4">
        <f t="shared" si="3"/>
        <v>9000</v>
      </c>
      <c r="N9" s="3" t="s">
        <v>60</v>
      </c>
      <c r="O9" s="3" t="s">
        <v>148</v>
      </c>
      <c r="P9" s="4">
        <f t="shared" si="4"/>
        <v>0</v>
      </c>
    </row>
    <row r="10" spans="1:16" ht="30" x14ac:dyDescent="0.25">
      <c r="A10" s="3" t="s">
        <v>24</v>
      </c>
      <c r="B10" s="3" t="s">
        <v>124</v>
      </c>
      <c r="C10" s="3" t="s">
        <v>153</v>
      </c>
      <c r="D10" s="3" t="s">
        <v>72</v>
      </c>
      <c r="E10" s="20">
        <v>850</v>
      </c>
      <c r="F10" s="3" t="s">
        <v>147</v>
      </c>
      <c r="G10" s="4">
        <v>5000</v>
      </c>
      <c r="H10" s="4">
        <v>5000</v>
      </c>
      <c r="I10" s="4">
        <f t="shared" si="0"/>
        <v>4250000</v>
      </c>
      <c r="J10" s="4">
        <f t="shared" si="1"/>
        <v>4250000</v>
      </c>
      <c r="K10" s="4">
        <v>18700000</v>
      </c>
      <c r="L10" s="4">
        <f t="shared" si="2"/>
        <v>8500000</v>
      </c>
      <c r="M10" s="4">
        <f t="shared" si="3"/>
        <v>10200000</v>
      </c>
      <c r="N10" s="3" t="s">
        <v>148</v>
      </c>
      <c r="O10" s="3" t="s">
        <v>148</v>
      </c>
      <c r="P10" s="4">
        <f t="shared" si="4"/>
        <v>0</v>
      </c>
    </row>
    <row r="11" spans="1:16" ht="30" x14ac:dyDescent="0.25">
      <c r="A11" s="3" t="s">
        <v>24</v>
      </c>
      <c r="B11" s="3" t="s">
        <v>124</v>
      </c>
      <c r="C11" s="3" t="s">
        <v>154</v>
      </c>
      <c r="D11" s="3" t="s">
        <v>72</v>
      </c>
      <c r="E11" s="20">
        <v>50</v>
      </c>
      <c r="F11" s="3" t="s">
        <v>147</v>
      </c>
      <c r="G11" s="4">
        <v>7500</v>
      </c>
      <c r="H11" s="4">
        <v>5000</v>
      </c>
      <c r="I11" s="4">
        <f t="shared" si="0"/>
        <v>375000</v>
      </c>
      <c r="J11" s="4">
        <f t="shared" si="1"/>
        <v>250000</v>
      </c>
      <c r="K11" s="4">
        <v>2750000</v>
      </c>
      <c r="L11" s="4">
        <f t="shared" si="2"/>
        <v>625000</v>
      </c>
      <c r="M11" s="4">
        <f t="shared" si="3"/>
        <v>2125000</v>
      </c>
      <c r="N11" s="3" t="s">
        <v>148</v>
      </c>
      <c r="O11" s="3" t="s">
        <v>148</v>
      </c>
      <c r="P11" s="4">
        <f t="shared" si="4"/>
        <v>0</v>
      </c>
    </row>
    <row r="12" spans="1:16" ht="30" x14ac:dyDescent="0.25">
      <c r="A12" s="3" t="s">
        <v>24</v>
      </c>
      <c r="B12" s="3" t="s">
        <v>124</v>
      </c>
      <c r="C12" s="3" t="s">
        <v>155</v>
      </c>
      <c r="D12" s="3" t="s">
        <v>72</v>
      </c>
      <c r="E12" s="20">
        <v>500</v>
      </c>
      <c r="F12" s="3" t="s">
        <v>147</v>
      </c>
      <c r="G12" s="4">
        <v>6000</v>
      </c>
      <c r="H12" s="4">
        <v>20000</v>
      </c>
      <c r="I12" s="4">
        <f t="shared" si="0"/>
        <v>3000000</v>
      </c>
      <c r="J12" s="4">
        <f t="shared" si="1"/>
        <v>10000000</v>
      </c>
      <c r="K12" s="4">
        <v>21000000</v>
      </c>
      <c r="L12" s="4">
        <f t="shared" si="2"/>
        <v>13000000</v>
      </c>
      <c r="M12" s="4">
        <f t="shared" si="3"/>
        <v>8000000</v>
      </c>
      <c r="N12" s="3" t="s">
        <v>148</v>
      </c>
      <c r="O12" s="3" t="s">
        <v>148</v>
      </c>
      <c r="P12" s="4">
        <f t="shared" si="4"/>
        <v>0</v>
      </c>
    </row>
    <row r="13" spans="1:16" ht="30" x14ac:dyDescent="0.25">
      <c r="A13" s="3" t="s">
        <v>24</v>
      </c>
      <c r="B13" s="3" t="s">
        <v>124</v>
      </c>
      <c r="C13" s="3" t="s">
        <v>156</v>
      </c>
      <c r="D13" s="3" t="s">
        <v>157</v>
      </c>
      <c r="E13" s="20">
        <v>1</v>
      </c>
      <c r="F13" s="3" t="s">
        <v>147</v>
      </c>
      <c r="G13" s="4">
        <v>252000</v>
      </c>
      <c r="H13" s="4">
        <v>20000</v>
      </c>
      <c r="I13" s="4">
        <f t="shared" si="0"/>
        <v>252000</v>
      </c>
      <c r="J13" s="4">
        <f t="shared" si="1"/>
        <v>20000</v>
      </c>
      <c r="K13" s="4">
        <v>1350000</v>
      </c>
      <c r="L13" s="4">
        <f t="shared" si="2"/>
        <v>272000</v>
      </c>
      <c r="M13" s="4">
        <f t="shared" si="3"/>
        <v>1078000</v>
      </c>
      <c r="N13" s="3" t="s">
        <v>60</v>
      </c>
      <c r="O13" s="3" t="s">
        <v>148</v>
      </c>
      <c r="P13" s="4">
        <f t="shared" si="4"/>
        <v>0</v>
      </c>
    </row>
    <row r="14" spans="1:16" ht="30" x14ac:dyDescent="0.25">
      <c r="A14" s="3" t="s">
        <v>24</v>
      </c>
      <c r="B14" s="3" t="s">
        <v>124</v>
      </c>
      <c r="C14" s="3" t="s">
        <v>158</v>
      </c>
      <c r="D14" s="3" t="s">
        <v>159</v>
      </c>
      <c r="E14" s="20">
        <v>1</v>
      </c>
      <c r="F14" s="3" t="s">
        <v>158</v>
      </c>
      <c r="G14" s="4">
        <v>1689800</v>
      </c>
      <c r="H14" s="4">
        <v>1201000</v>
      </c>
      <c r="I14" s="4">
        <f t="shared" si="0"/>
        <v>1689800</v>
      </c>
      <c r="J14" s="4">
        <f t="shared" si="1"/>
        <v>1201000</v>
      </c>
      <c r="K14" s="4">
        <v>4964400</v>
      </c>
      <c r="L14" s="4">
        <f t="shared" si="2"/>
        <v>2890800</v>
      </c>
      <c r="M14" s="4">
        <f t="shared" si="3"/>
        <v>2073600</v>
      </c>
      <c r="N14" s="3" t="s">
        <v>160</v>
      </c>
      <c r="O14" s="3" t="s">
        <v>160</v>
      </c>
      <c r="P14" s="4">
        <f t="shared" si="4"/>
        <v>0</v>
      </c>
    </row>
    <row r="15" spans="1:16" ht="30" x14ac:dyDescent="0.25">
      <c r="A15" s="3" t="s">
        <v>24</v>
      </c>
      <c r="B15" s="3" t="s">
        <v>124</v>
      </c>
      <c r="C15" s="3" t="s">
        <v>161</v>
      </c>
      <c r="D15" s="3" t="s">
        <v>64</v>
      </c>
      <c r="E15" s="20">
        <v>1</v>
      </c>
      <c r="F15" s="3" t="s">
        <v>147</v>
      </c>
      <c r="G15" s="4">
        <v>1260000</v>
      </c>
      <c r="H15" s="4">
        <v>500000</v>
      </c>
      <c r="I15" s="4">
        <f t="shared" si="0"/>
        <v>1260000</v>
      </c>
      <c r="J15" s="4">
        <f t="shared" si="1"/>
        <v>500000</v>
      </c>
      <c r="K15" s="4">
        <v>3500000</v>
      </c>
      <c r="L15" s="4">
        <f t="shared" si="2"/>
        <v>1760000</v>
      </c>
      <c r="M15" s="4">
        <f t="shared" si="3"/>
        <v>1740000</v>
      </c>
      <c r="N15" s="3" t="s">
        <v>60</v>
      </c>
      <c r="O15" s="3" t="s">
        <v>148</v>
      </c>
      <c r="P15" s="4">
        <f t="shared" si="4"/>
        <v>0</v>
      </c>
    </row>
    <row r="16" spans="1:16" ht="30" x14ac:dyDescent="0.25">
      <c r="A16" s="3" t="s">
        <v>24</v>
      </c>
      <c r="B16" s="3" t="s">
        <v>124</v>
      </c>
      <c r="C16" s="3" t="s">
        <v>75</v>
      </c>
      <c r="D16" s="3" t="s">
        <v>72</v>
      </c>
      <c r="E16" s="20">
        <v>72</v>
      </c>
      <c r="F16" s="3" t="s">
        <v>147</v>
      </c>
      <c r="G16" s="4">
        <v>140000</v>
      </c>
      <c r="H16" s="4">
        <v>100000</v>
      </c>
      <c r="I16" s="4">
        <f t="shared" si="0"/>
        <v>10080000</v>
      </c>
      <c r="J16" s="4">
        <f t="shared" si="1"/>
        <v>7200000</v>
      </c>
      <c r="K16" s="4">
        <v>25416000</v>
      </c>
      <c r="L16" s="4">
        <f t="shared" si="2"/>
        <v>17280000</v>
      </c>
      <c r="M16" s="4">
        <f t="shared" si="3"/>
        <v>8136000</v>
      </c>
      <c r="N16" s="3" t="s">
        <v>148</v>
      </c>
      <c r="O16" s="3" t="s">
        <v>148</v>
      </c>
      <c r="P16" s="4">
        <f t="shared" si="4"/>
        <v>0</v>
      </c>
    </row>
    <row r="17" spans="1:16" ht="30" x14ac:dyDescent="0.25">
      <c r="A17" s="3" t="s">
        <v>24</v>
      </c>
      <c r="B17" s="3" t="s">
        <v>124</v>
      </c>
      <c r="C17" s="3" t="s">
        <v>74</v>
      </c>
      <c r="D17" s="3" t="s">
        <v>72</v>
      </c>
      <c r="E17" s="20">
        <v>72</v>
      </c>
      <c r="F17" s="3" t="s">
        <v>147</v>
      </c>
      <c r="G17" s="4">
        <v>120000</v>
      </c>
      <c r="H17" s="4">
        <v>100000</v>
      </c>
      <c r="I17" s="4">
        <f t="shared" si="0"/>
        <v>8640000</v>
      </c>
      <c r="J17" s="4">
        <f t="shared" si="1"/>
        <v>7200000</v>
      </c>
      <c r="K17" s="4">
        <v>20232000</v>
      </c>
      <c r="L17" s="4">
        <f t="shared" si="2"/>
        <v>15840000</v>
      </c>
      <c r="M17" s="4">
        <f t="shared" si="3"/>
        <v>4392000</v>
      </c>
      <c r="N17" s="3" t="s">
        <v>148</v>
      </c>
      <c r="O17" s="3" t="s">
        <v>148</v>
      </c>
      <c r="P17" s="4">
        <f t="shared" si="4"/>
        <v>0</v>
      </c>
    </row>
    <row r="18" spans="1:16" ht="30" x14ac:dyDescent="0.25">
      <c r="A18" s="3" t="s">
        <v>24</v>
      </c>
      <c r="B18" s="3" t="s">
        <v>124</v>
      </c>
      <c r="C18" s="3" t="s">
        <v>162</v>
      </c>
      <c r="D18" s="3" t="s">
        <v>64</v>
      </c>
      <c r="E18" s="20">
        <v>15</v>
      </c>
      <c r="F18" s="3" t="s">
        <v>147</v>
      </c>
      <c r="G18" s="4">
        <v>53000</v>
      </c>
      <c r="H18" s="4">
        <v>25000</v>
      </c>
      <c r="I18" s="4">
        <f t="shared" si="0"/>
        <v>795000</v>
      </c>
      <c r="J18" s="4">
        <f t="shared" si="1"/>
        <v>375000</v>
      </c>
      <c r="K18" s="4">
        <v>1881000</v>
      </c>
      <c r="L18" s="4">
        <f t="shared" si="2"/>
        <v>1170000</v>
      </c>
      <c r="M18" s="4">
        <f t="shared" si="3"/>
        <v>711000</v>
      </c>
      <c r="N18" s="3" t="s">
        <v>60</v>
      </c>
      <c r="O18" s="3" t="s">
        <v>148</v>
      </c>
      <c r="P18" s="4">
        <f t="shared" si="4"/>
        <v>0</v>
      </c>
    </row>
    <row r="19" spans="1:16" ht="30" x14ac:dyDescent="0.25">
      <c r="A19" s="3" t="s">
        <v>24</v>
      </c>
      <c r="B19" s="3" t="s">
        <v>124</v>
      </c>
      <c r="C19" s="3" t="s">
        <v>163</v>
      </c>
      <c r="D19" s="3" t="s">
        <v>64</v>
      </c>
      <c r="E19" s="20">
        <v>40</v>
      </c>
      <c r="F19" s="3" t="s">
        <v>147</v>
      </c>
      <c r="G19" s="4">
        <v>42000</v>
      </c>
      <c r="H19" s="4">
        <v>25000</v>
      </c>
      <c r="I19" s="4">
        <f t="shared" si="0"/>
        <v>1680000</v>
      </c>
      <c r="J19" s="4">
        <f t="shared" si="1"/>
        <v>1000000</v>
      </c>
      <c r="K19" s="4">
        <v>3520000</v>
      </c>
      <c r="L19" s="4">
        <f t="shared" si="2"/>
        <v>2680000</v>
      </c>
      <c r="M19" s="4">
        <f t="shared" si="3"/>
        <v>840000</v>
      </c>
      <c r="N19" s="3" t="s">
        <v>60</v>
      </c>
      <c r="O19" s="3" t="s">
        <v>148</v>
      </c>
      <c r="P19" s="4">
        <f t="shared" si="4"/>
        <v>0</v>
      </c>
    </row>
    <row r="20" spans="1:16" ht="30" x14ac:dyDescent="0.25">
      <c r="A20" s="3" t="s">
        <v>24</v>
      </c>
      <c r="B20" s="3" t="s">
        <v>124</v>
      </c>
      <c r="C20" s="3" t="s">
        <v>164</v>
      </c>
      <c r="D20" s="3" t="s">
        <v>64</v>
      </c>
      <c r="E20" s="20">
        <v>10</v>
      </c>
      <c r="F20" s="3" t="s">
        <v>147</v>
      </c>
      <c r="G20" s="4">
        <v>95000</v>
      </c>
      <c r="H20" s="4">
        <v>25000</v>
      </c>
      <c r="I20" s="4">
        <f t="shared" si="0"/>
        <v>950000</v>
      </c>
      <c r="J20" s="4">
        <f t="shared" si="1"/>
        <v>250000</v>
      </c>
      <c r="K20" s="4">
        <v>1960000</v>
      </c>
      <c r="L20" s="4">
        <f t="shared" si="2"/>
        <v>1200000</v>
      </c>
      <c r="M20" s="4">
        <f t="shared" si="3"/>
        <v>760000</v>
      </c>
      <c r="N20" s="3" t="s">
        <v>60</v>
      </c>
      <c r="O20" s="3" t="s">
        <v>148</v>
      </c>
      <c r="P20" s="4">
        <f t="shared" si="4"/>
        <v>0</v>
      </c>
    </row>
    <row r="21" spans="1:16" ht="30" x14ac:dyDescent="0.25">
      <c r="A21" s="3" t="s">
        <v>24</v>
      </c>
      <c r="B21" s="3" t="s">
        <v>124</v>
      </c>
      <c r="C21" s="3" t="s">
        <v>165</v>
      </c>
      <c r="D21" s="3" t="s">
        <v>64</v>
      </c>
      <c r="E21" s="20">
        <v>4</v>
      </c>
      <c r="F21" s="3" t="s">
        <v>147</v>
      </c>
      <c r="G21" s="4">
        <v>75000</v>
      </c>
      <c r="H21" s="4">
        <v>25000</v>
      </c>
      <c r="I21" s="4">
        <f t="shared" si="0"/>
        <v>300000</v>
      </c>
      <c r="J21" s="4">
        <f t="shared" si="1"/>
        <v>100000</v>
      </c>
      <c r="K21" s="4">
        <v>644000</v>
      </c>
      <c r="L21" s="4">
        <f t="shared" si="2"/>
        <v>400000</v>
      </c>
      <c r="M21" s="4">
        <f t="shared" si="3"/>
        <v>244000</v>
      </c>
      <c r="N21" s="3" t="s">
        <v>148</v>
      </c>
      <c r="O21" s="3" t="s">
        <v>148</v>
      </c>
      <c r="P21" s="4">
        <f t="shared" si="4"/>
        <v>0</v>
      </c>
    </row>
    <row r="22" spans="1:16" ht="30" x14ac:dyDescent="0.25">
      <c r="A22" s="3" t="s">
        <v>24</v>
      </c>
      <c r="B22" s="3" t="s">
        <v>124</v>
      </c>
      <c r="C22" s="3" t="s">
        <v>166</v>
      </c>
      <c r="D22" s="3" t="s">
        <v>78</v>
      </c>
      <c r="E22" s="20">
        <v>20</v>
      </c>
      <c r="F22" s="3" t="s">
        <v>147</v>
      </c>
      <c r="G22" s="4">
        <v>110000</v>
      </c>
      <c r="H22" s="4">
        <v>25000</v>
      </c>
      <c r="I22" s="4">
        <f t="shared" si="0"/>
        <v>2200000</v>
      </c>
      <c r="J22" s="4">
        <f t="shared" si="1"/>
        <v>500000</v>
      </c>
      <c r="K22" s="4">
        <v>6240000</v>
      </c>
      <c r="L22" s="4">
        <f t="shared" si="2"/>
        <v>2700000</v>
      </c>
      <c r="M22" s="4">
        <f t="shared" si="3"/>
        <v>3540000</v>
      </c>
      <c r="N22" s="3" t="s">
        <v>148</v>
      </c>
      <c r="O22" s="3" t="s">
        <v>148</v>
      </c>
      <c r="P22" s="4">
        <f t="shared" si="4"/>
        <v>0</v>
      </c>
    </row>
    <row r="23" spans="1:16" ht="30" x14ac:dyDescent="0.25">
      <c r="A23" s="3" t="s">
        <v>24</v>
      </c>
      <c r="B23" s="3" t="s">
        <v>124</v>
      </c>
      <c r="C23" s="3" t="s">
        <v>167</v>
      </c>
      <c r="D23" s="3" t="s">
        <v>72</v>
      </c>
      <c r="E23" s="20">
        <v>6</v>
      </c>
      <c r="F23" s="3" t="s">
        <v>147</v>
      </c>
      <c r="G23" s="4">
        <v>25000</v>
      </c>
      <c r="H23" s="4">
        <v>15000</v>
      </c>
      <c r="I23" s="4">
        <f t="shared" si="0"/>
        <v>150000</v>
      </c>
      <c r="J23" s="4">
        <f t="shared" si="1"/>
        <v>90000</v>
      </c>
      <c r="K23" s="4">
        <v>294000</v>
      </c>
      <c r="L23" s="4">
        <f t="shared" si="2"/>
        <v>240000</v>
      </c>
      <c r="M23" s="4">
        <f t="shared" si="3"/>
        <v>54000</v>
      </c>
      <c r="N23" s="3" t="s">
        <v>148</v>
      </c>
      <c r="O23" s="3" t="s">
        <v>148</v>
      </c>
      <c r="P23" s="4">
        <f t="shared" si="4"/>
        <v>0</v>
      </c>
    </row>
    <row r="24" spans="1:16" ht="30" x14ac:dyDescent="0.25">
      <c r="A24" s="3" t="s">
        <v>24</v>
      </c>
      <c r="B24" s="3" t="s">
        <v>124</v>
      </c>
      <c r="C24" s="3" t="s">
        <v>168</v>
      </c>
      <c r="D24" s="3" t="s">
        <v>64</v>
      </c>
      <c r="E24" s="20">
        <v>5</v>
      </c>
      <c r="F24" s="3" t="s">
        <v>147</v>
      </c>
      <c r="G24" s="4">
        <v>300000</v>
      </c>
      <c r="H24" s="4">
        <v>100000</v>
      </c>
      <c r="I24" s="4">
        <f t="shared" si="0"/>
        <v>1500000</v>
      </c>
      <c r="J24" s="4">
        <f t="shared" si="1"/>
        <v>500000</v>
      </c>
      <c r="K24" s="4">
        <v>2560000</v>
      </c>
      <c r="L24" s="4">
        <f t="shared" si="2"/>
        <v>2000000</v>
      </c>
      <c r="M24" s="4">
        <f t="shared" si="3"/>
        <v>560000</v>
      </c>
      <c r="N24" s="3" t="s">
        <v>148</v>
      </c>
      <c r="O24" s="3" t="s">
        <v>148</v>
      </c>
      <c r="P24" s="4">
        <f t="shared" si="4"/>
        <v>0</v>
      </c>
    </row>
    <row r="25" spans="1:16" ht="30" x14ac:dyDescent="0.25">
      <c r="A25" s="3" t="s">
        <v>24</v>
      </c>
      <c r="B25" s="3" t="s">
        <v>124</v>
      </c>
      <c r="C25" s="3" t="s">
        <v>169</v>
      </c>
      <c r="D25" s="3" t="s">
        <v>64</v>
      </c>
      <c r="E25" s="20">
        <v>2</v>
      </c>
      <c r="F25" s="3" t="s">
        <v>147</v>
      </c>
      <c r="G25" s="4">
        <v>300000</v>
      </c>
      <c r="H25" s="4">
        <v>100000</v>
      </c>
      <c r="I25" s="4">
        <f t="shared" si="0"/>
        <v>600000</v>
      </c>
      <c r="J25" s="4">
        <f t="shared" si="1"/>
        <v>200000</v>
      </c>
      <c r="K25" s="4">
        <v>1920000</v>
      </c>
      <c r="L25" s="4">
        <f t="shared" si="2"/>
        <v>800000</v>
      </c>
      <c r="M25" s="4">
        <f t="shared" si="3"/>
        <v>1120000</v>
      </c>
      <c r="N25" s="3" t="s">
        <v>148</v>
      </c>
      <c r="O25" s="3" t="s">
        <v>148</v>
      </c>
      <c r="P25" s="4">
        <f t="shared" si="4"/>
        <v>0</v>
      </c>
    </row>
    <row r="26" spans="1:16" ht="30" x14ac:dyDescent="0.25">
      <c r="A26" s="3" t="s">
        <v>24</v>
      </c>
      <c r="B26" s="3" t="s">
        <v>124</v>
      </c>
      <c r="C26" s="3" t="s">
        <v>170</v>
      </c>
      <c r="D26" s="3" t="s">
        <v>64</v>
      </c>
      <c r="E26" s="20">
        <v>2</v>
      </c>
      <c r="F26" s="3" t="s">
        <v>147</v>
      </c>
      <c r="G26" s="4">
        <v>500000</v>
      </c>
      <c r="H26" s="4">
        <v>100000</v>
      </c>
      <c r="I26" s="4">
        <f t="shared" si="0"/>
        <v>1000000</v>
      </c>
      <c r="J26" s="4">
        <f t="shared" si="1"/>
        <v>200000</v>
      </c>
      <c r="K26" s="4">
        <v>1744000</v>
      </c>
      <c r="L26" s="4">
        <f t="shared" si="2"/>
        <v>1200000</v>
      </c>
      <c r="M26" s="4">
        <f t="shared" si="3"/>
        <v>544000</v>
      </c>
      <c r="N26" s="3" t="s">
        <v>148</v>
      </c>
      <c r="O26" s="3" t="s">
        <v>148</v>
      </c>
      <c r="P26" s="4">
        <f t="shared" si="4"/>
        <v>0</v>
      </c>
    </row>
    <row r="27" spans="1:16" ht="30" x14ac:dyDescent="0.25">
      <c r="A27" s="3" t="s">
        <v>24</v>
      </c>
      <c r="B27" s="3" t="s">
        <v>124</v>
      </c>
      <c r="C27" s="3" t="s">
        <v>171</v>
      </c>
      <c r="D27" s="3" t="s">
        <v>64</v>
      </c>
      <c r="E27" s="20">
        <v>4</v>
      </c>
      <c r="F27" s="3" t="s">
        <v>147</v>
      </c>
      <c r="G27" s="4">
        <v>250000</v>
      </c>
      <c r="H27" s="4">
        <v>100000</v>
      </c>
      <c r="I27" s="4">
        <f t="shared" si="0"/>
        <v>1000000</v>
      </c>
      <c r="J27" s="4">
        <f t="shared" si="1"/>
        <v>400000</v>
      </c>
      <c r="K27" s="4">
        <v>1864000</v>
      </c>
      <c r="L27" s="4">
        <f t="shared" si="2"/>
        <v>1400000</v>
      </c>
      <c r="M27" s="4">
        <f t="shared" si="3"/>
        <v>464000</v>
      </c>
      <c r="N27" s="3" t="s">
        <v>148</v>
      </c>
      <c r="O27" s="3" t="s">
        <v>148</v>
      </c>
      <c r="P27" s="4">
        <f t="shared" si="4"/>
        <v>0</v>
      </c>
    </row>
    <row r="28" spans="1:16" ht="30" x14ac:dyDescent="0.25">
      <c r="A28" s="3" t="s">
        <v>24</v>
      </c>
      <c r="B28" s="3" t="s">
        <v>124</v>
      </c>
      <c r="C28" s="3" t="s">
        <v>172</v>
      </c>
      <c r="D28" s="3" t="s">
        <v>78</v>
      </c>
      <c r="E28" s="20">
        <v>3</v>
      </c>
      <c r="F28" s="3" t="s">
        <v>147</v>
      </c>
      <c r="G28" s="4">
        <v>300000</v>
      </c>
      <c r="H28" s="4">
        <v>100000</v>
      </c>
      <c r="I28" s="4">
        <f t="shared" si="0"/>
        <v>900000</v>
      </c>
      <c r="J28" s="4">
        <f t="shared" si="1"/>
        <v>300000</v>
      </c>
      <c r="K28" s="4">
        <v>2772000</v>
      </c>
      <c r="L28" s="4">
        <f t="shared" si="2"/>
        <v>1200000</v>
      </c>
      <c r="M28" s="4">
        <f t="shared" si="3"/>
        <v>1572000</v>
      </c>
      <c r="N28" s="3" t="s">
        <v>148</v>
      </c>
      <c r="O28" s="3" t="s">
        <v>148</v>
      </c>
      <c r="P28" s="4">
        <f t="shared" si="4"/>
        <v>0</v>
      </c>
    </row>
    <row r="29" spans="1:16" ht="30" x14ac:dyDescent="0.25">
      <c r="A29" s="3" t="s">
        <v>24</v>
      </c>
      <c r="B29" s="3" t="s">
        <v>124</v>
      </c>
      <c r="C29" s="3" t="s">
        <v>173</v>
      </c>
      <c r="D29" s="3" t="s">
        <v>64</v>
      </c>
      <c r="E29" s="20">
        <v>2</v>
      </c>
      <c r="F29" s="3" t="s">
        <v>147</v>
      </c>
      <c r="G29" s="4">
        <v>450000</v>
      </c>
      <c r="H29" s="4">
        <v>100000</v>
      </c>
      <c r="I29" s="4">
        <f t="shared" si="0"/>
        <v>900000</v>
      </c>
      <c r="J29" s="4">
        <f t="shared" si="1"/>
        <v>200000</v>
      </c>
      <c r="K29" s="4">
        <v>1628000</v>
      </c>
      <c r="L29" s="4">
        <f t="shared" si="2"/>
        <v>1100000</v>
      </c>
      <c r="M29" s="4">
        <f t="shared" si="3"/>
        <v>528000</v>
      </c>
      <c r="N29" s="3" t="s">
        <v>148</v>
      </c>
      <c r="O29" s="3" t="s">
        <v>148</v>
      </c>
      <c r="P29" s="4">
        <f t="shared" si="4"/>
        <v>0</v>
      </c>
    </row>
    <row r="30" spans="1:16" ht="30" x14ac:dyDescent="0.25">
      <c r="A30" s="3" t="s">
        <v>24</v>
      </c>
      <c r="B30" s="3" t="s">
        <v>124</v>
      </c>
      <c r="C30" s="3" t="s">
        <v>79</v>
      </c>
      <c r="D30" s="3" t="s">
        <v>78</v>
      </c>
      <c r="E30" s="20">
        <v>1</v>
      </c>
      <c r="F30" s="3" t="s">
        <v>147</v>
      </c>
      <c r="G30" s="4">
        <v>2205000</v>
      </c>
      <c r="H30" s="4">
        <v>150000</v>
      </c>
      <c r="I30" s="4">
        <f t="shared" si="0"/>
        <v>2205000</v>
      </c>
      <c r="J30" s="4">
        <f t="shared" si="1"/>
        <v>150000</v>
      </c>
      <c r="K30" s="4">
        <v>4188000</v>
      </c>
      <c r="L30" s="4">
        <f t="shared" si="2"/>
        <v>2355000</v>
      </c>
      <c r="M30" s="4">
        <f t="shared" si="3"/>
        <v>1833000</v>
      </c>
      <c r="N30" s="3" t="s">
        <v>60</v>
      </c>
      <c r="O30" s="3" t="s">
        <v>148</v>
      </c>
      <c r="P30" s="4">
        <f t="shared" si="4"/>
        <v>0</v>
      </c>
    </row>
    <row r="31" spans="1:16" ht="30" x14ac:dyDescent="0.25">
      <c r="A31" s="3" t="s">
        <v>24</v>
      </c>
      <c r="B31" s="3" t="s">
        <v>124</v>
      </c>
      <c r="C31" s="3" t="s">
        <v>174</v>
      </c>
      <c r="D31" s="3" t="s">
        <v>64</v>
      </c>
      <c r="E31" s="20">
        <v>2</v>
      </c>
      <c r="F31" s="3" t="s">
        <v>147</v>
      </c>
      <c r="G31" s="4">
        <v>150000</v>
      </c>
      <c r="H31" s="4">
        <v>50000</v>
      </c>
      <c r="I31" s="4">
        <f t="shared" si="0"/>
        <v>300000</v>
      </c>
      <c r="J31" s="4">
        <f t="shared" si="1"/>
        <v>100000</v>
      </c>
      <c r="K31" s="4">
        <v>636000</v>
      </c>
      <c r="L31" s="4">
        <f t="shared" si="2"/>
        <v>400000</v>
      </c>
      <c r="M31" s="4">
        <f t="shared" si="3"/>
        <v>236000</v>
      </c>
      <c r="N31" s="3" t="s">
        <v>148</v>
      </c>
      <c r="O31" s="3" t="s">
        <v>148</v>
      </c>
      <c r="P31" s="4">
        <f t="shared" si="4"/>
        <v>0</v>
      </c>
    </row>
    <row r="32" spans="1:16" ht="30" x14ac:dyDescent="0.25">
      <c r="A32" s="3" t="s">
        <v>24</v>
      </c>
      <c r="B32" s="3" t="s">
        <v>124</v>
      </c>
      <c r="C32" s="3" t="s">
        <v>175</v>
      </c>
      <c r="D32" s="3" t="s">
        <v>176</v>
      </c>
      <c r="E32" s="20">
        <v>1</v>
      </c>
      <c r="F32" s="3" t="s">
        <v>147</v>
      </c>
      <c r="G32" s="4">
        <v>5500000</v>
      </c>
      <c r="H32" s="4">
        <v>500000</v>
      </c>
      <c r="I32" s="4">
        <f t="shared" si="0"/>
        <v>5500000</v>
      </c>
      <c r="J32" s="4">
        <f t="shared" si="1"/>
        <v>500000</v>
      </c>
      <c r="K32" s="4">
        <v>10527000</v>
      </c>
      <c r="L32" s="4">
        <f t="shared" si="2"/>
        <v>6000000</v>
      </c>
      <c r="M32" s="4">
        <f t="shared" si="3"/>
        <v>4527000</v>
      </c>
      <c r="N32" s="3" t="s">
        <v>148</v>
      </c>
      <c r="O32" s="3" t="s">
        <v>148</v>
      </c>
      <c r="P32" s="4">
        <f t="shared" si="4"/>
        <v>0</v>
      </c>
    </row>
    <row r="33" spans="1:16" ht="30" x14ac:dyDescent="0.25">
      <c r="A33" s="3" t="s">
        <v>24</v>
      </c>
      <c r="B33" s="3" t="s">
        <v>124</v>
      </c>
      <c r="C33" s="3" t="s">
        <v>177</v>
      </c>
      <c r="D33" s="3" t="s">
        <v>59</v>
      </c>
      <c r="E33" s="20">
        <v>1</v>
      </c>
      <c r="F33" s="3" t="s">
        <v>178</v>
      </c>
      <c r="G33" s="4">
        <v>15400000</v>
      </c>
      <c r="H33" s="4">
        <v>0</v>
      </c>
      <c r="I33" s="4">
        <f t="shared" si="0"/>
        <v>15400000</v>
      </c>
      <c r="J33" s="4">
        <f t="shared" si="1"/>
        <v>0</v>
      </c>
      <c r="K33" s="4">
        <v>28000000</v>
      </c>
      <c r="L33" s="4">
        <f t="shared" si="2"/>
        <v>15400000</v>
      </c>
      <c r="M33" s="4">
        <f t="shared" si="3"/>
        <v>12600000</v>
      </c>
      <c r="N33" s="3" t="s">
        <v>60</v>
      </c>
      <c r="O33" s="3"/>
      <c r="P33" s="4">
        <f t="shared" si="4"/>
        <v>0</v>
      </c>
    </row>
    <row r="34" spans="1:16" ht="30" x14ac:dyDescent="0.25">
      <c r="A34" s="3" t="s">
        <v>24</v>
      </c>
      <c r="B34" s="3" t="s">
        <v>124</v>
      </c>
      <c r="C34" s="3" t="s">
        <v>179</v>
      </c>
      <c r="D34" s="3" t="s">
        <v>59</v>
      </c>
      <c r="E34" s="20">
        <v>1</v>
      </c>
      <c r="F34" s="3" t="s">
        <v>147</v>
      </c>
      <c r="G34" s="4">
        <v>0</v>
      </c>
      <c r="H34" s="4">
        <v>3000000</v>
      </c>
      <c r="I34" s="4">
        <f t="shared" si="0"/>
        <v>0</v>
      </c>
      <c r="J34" s="4">
        <f t="shared" si="1"/>
        <v>3000000</v>
      </c>
      <c r="K34" s="4">
        <v>4736000</v>
      </c>
      <c r="L34" s="4">
        <f t="shared" si="2"/>
        <v>3000000</v>
      </c>
      <c r="M34" s="4">
        <f t="shared" si="3"/>
        <v>1736000</v>
      </c>
      <c r="N34" s="3"/>
      <c r="O34" s="3" t="s">
        <v>148</v>
      </c>
      <c r="P34" s="4">
        <f t="shared" si="4"/>
        <v>0</v>
      </c>
    </row>
    <row r="35" spans="1:16" ht="30" x14ac:dyDescent="0.25">
      <c r="A35" s="3" t="s">
        <v>24</v>
      </c>
      <c r="B35" s="3" t="s">
        <v>124</v>
      </c>
      <c r="C35" s="3" t="s">
        <v>180</v>
      </c>
      <c r="D35" s="3" t="s">
        <v>59</v>
      </c>
      <c r="E35" s="20">
        <v>1</v>
      </c>
      <c r="F35" s="3" t="s">
        <v>178</v>
      </c>
      <c r="G35" s="4">
        <v>27720000</v>
      </c>
      <c r="H35" s="4">
        <v>0</v>
      </c>
      <c r="I35" s="4">
        <f t="shared" si="0"/>
        <v>27720000</v>
      </c>
      <c r="J35" s="4">
        <f t="shared" si="1"/>
        <v>0</v>
      </c>
      <c r="K35" s="4">
        <v>45000000</v>
      </c>
      <c r="L35" s="4">
        <f t="shared" si="2"/>
        <v>27720000</v>
      </c>
      <c r="M35" s="4">
        <f t="shared" si="3"/>
        <v>17280000</v>
      </c>
      <c r="N35" s="3" t="s">
        <v>60</v>
      </c>
      <c r="O35" s="3"/>
      <c r="P35" s="4">
        <f t="shared" si="4"/>
        <v>0</v>
      </c>
    </row>
    <row r="36" spans="1:16" ht="30" x14ac:dyDescent="0.25">
      <c r="A36" s="3" t="s">
        <v>24</v>
      </c>
      <c r="B36" s="3" t="s">
        <v>124</v>
      </c>
      <c r="C36" s="3" t="s">
        <v>181</v>
      </c>
      <c r="D36" s="3" t="s">
        <v>59</v>
      </c>
      <c r="E36" s="20">
        <v>1</v>
      </c>
      <c r="F36" s="3" t="s">
        <v>147</v>
      </c>
      <c r="G36" s="4">
        <v>0</v>
      </c>
      <c r="H36" s="4">
        <v>3000000</v>
      </c>
      <c r="I36" s="4">
        <f t="shared" si="0"/>
        <v>0</v>
      </c>
      <c r="J36" s="4">
        <f t="shared" si="1"/>
        <v>3000000</v>
      </c>
      <c r="K36" s="4">
        <v>4736000</v>
      </c>
      <c r="L36" s="4">
        <f t="shared" si="2"/>
        <v>3000000</v>
      </c>
      <c r="M36" s="4">
        <f t="shared" si="3"/>
        <v>1736000</v>
      </c>
      <c r="N36" s="3"/>
      <c r="O36" s="3" t="s">
        <v>148</v>
      </c>
      <c r="P36" s="4">
        <f t="shared" si="4"/>
        <v>0</v>
      </c>
    </row>
    <row r="37" spans="1:16" ht="30" x14ac:dyDescent="0.25">
      <c r="A37" s="3" t="s">
        <v>24</v>
      </c>
      <c r="B37" s="3" t="s">
        <v>124</v>
      </c>
      <c r="C37" s="3" t="s">
        <v>182</v>
      </c>
      <c r="D37" s="3" t="s">
        <v>176</v>
      </c>
      <c r="E37" s="20">
        <v>5</v>
      </c>
      <c r="F37" s="3" t="s">
        <v>147</v>
      </c>
      <c r="G37" s="4">
        <v>368000</v>
      </c>
      <c r="H37" s="4">
        <v>400000</v>
      </c>
      <c r="I37" s="4">
        <f t="shared" si="0"/>
        <v>1840000</v>
      </c>
      <c r="J37" s="4">
        <f t="shared" si="1"/>
        <v>2000000</v>
      </c>
      <c r="K37" s="4">
        <v>5075000</v>
      </c>
      <c r="L37" s="4">
        <f t="shared" si="2"/>
        <v>3840000</v>
      </c>
      <c r="M37" s="4">
        <f t="shared" si="3"/>
        <v>1235000</v>
      </c>
      <c r="N37" s="3" t="s">
        <v>148</v>
      </c>
      <c r="O37" s="3" t="s">
        <v>148</v>
      </c>
      <c r="P37" s="4">
        <f t="shared" si="4"/>
        <v>0</v>
      </c>
    </row>
    <row r="38" spans="1:16" ht="30" x14ac:dyDescent="0.25">
      <c r="A38" s="3" t="s">
        <v>24</v>
      </c>
      <c r="B38" s="3" t="s">
        <v>124</v>
      </c>
      <c r="C38" s="3" t="s">
        <v>183</v>
      </c>
      <c r="D38" s="3" t="s">
        <v>184</v>
      </c>
      <c r="E38" s="20">
        <v>5</v>
      </c>
      <c r="F38" s="3" t="s">
        <v>147</v>
      </c>
      <c r="G38" s="4">
        <v>600000</v>
      </c>
      <c r="H38" s="21">
        <v>67692</v>
      </c>
      <c r="I38" s="4">
        <f t="shared" si="0"/>
        <v>3000000</v>
      </c>
      <c r="J38" s="4">
        <f t="shared" si="1"/>
        <v>338460</v>
      </c>
      <c r="K38" s="4">
        <v>4160000</v>
      </c>
      <c r="L38" s="4">
        <f t="shared" si="2"/>
        <v>3338460</v>
      </c>
      <c r="M38" s="4">
        <f t="shared" si="3"/>
        <v>821540</v>
      </c>
      <c r="N38" s="3" t="s">
        <v>148</v>
      </c>
      <c r="O38" s="22" t="s">
        <v>185</v>
      </c>
      <c r="P38" s="4">
        <f t="shared" si="4"/>
        <v>338460</v>
      </c>
    </row>
    <row r="39" spans="1:16" ht="30" x14ac:dyDescent="0.25">
      <c r="A39" s="3" t="s">
        <v>24</v>
      </c>
      <c r="B39" s="3" t="s">
        <v>124</v>
      </c>
      <c r="C39" s="3" t="s">
        <v>186</v>
      </c>
      <c r="D39" s="3" t="s">
        <v>64</v>
      </c>
      <c r="E39" s="20">
        <v>5</v>
      </c>
      <c r="F39" s="3" t="s">
        <v>147</v>
      </c>
      <c r="G39" s="4">
        <v>166000</v>
      </c>
      <c r="H39" s="4">
        <v>100000</v>
      </c>
      <c r="I39" s="4">
        <f t="shared" si="0"/>
        <v>830000</v>
      </c>
      <c r="J39" s="4">
        <f t="shared" si="1"/>
        <v>500000</v>
      </c>
      <c r="K39" s="4">
        <v>2500000</v>
      </c>
      <c r="L39" s="4">
        <f t="shared" si="2"/>
        <v>1330000</v>
      </c>
      <c r="M39" s="4">
        <f t="shared" si="3"/>
        <v>1170000</v>
      </c>
      <c r="N39" s="3" t="s">
        <v>60</v>
      </c>
      <c r="O39" s="3" t="s">
        <v>148</v>
      </c>
      <c r="P39" s="4">
        <f t="shared" si="4"/>
        <v>0</v>
      </c>
    </row>
    <row r="40" spans="1:16" ht="30" x14ac:dyDescent="0.25">
      <c r="A40" s="3" t="s">
        <v>24</v>
      </c>
      <c r="B40" s="3" t="s">
        <v>124</v>
      </c>
      <c r="C40" s="3" t="s">
        <v>187</v>
      </c>
      <c r="D40" s="3" t="s">
        <v>78</v>
      </c>
      <c r="E40" s="20">
        <v>5</v>
      </c>
      <c r="F40" s="3" t="s">
        <v>178</v>
      </c>
      <c r="G40" s="4">
        <v>53000</v>
      </c>
      <c r="H40" s="4">
        <v>50000</v>
      </c>
      <c r="I40" s="4">
        <f t="shared" si="0"/>
        <v>265000</v>
      </c>
      <c r="J40" s="4">
        <f t="shared" si="1"/>
        <v>250000</v>
      </c>
      <c r="K40" s="4">
        <v>1135000</v>
      </c>
      <c r="L40" s="4">
        <f t="shared" si="2"/>
        <v>515000</v>
      </c>
      <c r="M40" s="4">
        <f t="shared" si="3"/>
        <v>620000</v>
      </c>
      <c r="N40" s="3" t="s">
        <v>60</v>
      </c>
      <c r="O40" s="3" t="s">
        <v>148</v>
      </c>
      <c r="P40" s="4">
        <f t="shared" si="4"/>
        <v>0</v>
      </c>
    </row>
    <row r="41" spans="1:16" x14ac:dyDescent="0.25">
      <c r="A41" s="3" t="s">
        <v>24</v>
      </c>
      <c r="B41" s="3" t="s">
        <v>124</v>
      </c>
      <c r="C41" s="3" t="s">
        <v>69</v>
      </c>
      <c r="D41" s="3" t="s">
        <v>64</v>
      </c>
      <c r="E41" s="20">
        <v>5</v>
      </c>
      <c r="F41" s="3" t="s">
        <v>178</v>
      </c>
      <c r="G41" s="4">
        <v>137000</v>
      </c>
      <c r="H41" s="21">
        <v>31538</v>
      </c>
      <c r="I41" s="4">
        <f t="shared" si="0"/>
        <v>685000</v>
      </c>
      <c r="J41" s="4">
        <f t="shared" si="1"/>
        <v>157690</v>
      </c>
      <c r="K41" s="4">
        <v>1305000</v>
      </c>
      <c r="L41" s="4">
        <f t="shared" si="2"/>
        <v>842690</v>
      </c>
      <c r="M41" s="4">
        <f t="shared" si="3"/>
        <v>462310</v>
      </c>
      <c r="N41" s="3" t="s">
        <v>60</v>
      </c>
      <c r="O41" s="22" t="s">
        <v>185</v>
      </c>
      <c r="P41" s="4">
        <f t="shared" si="4"/>
        <v>157690</v>
      </c>
    </row>
    <row r="42" spans="1:16" x14ac:dyDescent="0.25">
      <c r="A42" s="3" t="s">
        <v>24</v>
      </c>
      <c r="B42" s="3" t="s">
        <v>124</v>
      </c>
      <c r="C42" s="3" t="s">
        <v>188</v>
      </c>
      <c r="D42" s="3" t="s">
        <v>189</v>
      </c>
      <c r="E42" s="20">
        <v>10</v>
      </c>
      <c r="F42" s="3" t="s">
        <v>178</v>
      </c>
      <c r="G42" s="4">
        <v>652000</v>
      </c>
      <c r="H42" s="21">
        <v>10769</v>
      </c>
      <c r="I42" s="4">
        <f t="shared" si="0"/>
        <v>6520000</v>
      </c>
      <c r="J42" s="4">
        <f t="shared" si="1"/>
        <v>107690</v>
      </c>
      <c r="K42" s="4">
        <v>7580000</v>
      </c>
      <c r="L42" s="4">
        <f t="shared" si="2"/>
        <v>6627690</v>
      </c>
      <c r="M42" s="4">
        <f t="shared" si="3"/>
        <v>952310</v>
      </c>
      <c r="N42" s="3" t="s">
        <v>60</v>
      </c>
      <c r="O42" s="22" t="s">
        <v>185</v>
      </c>
      <c r="P42" s="4">
        <f t="shared" si="4"/>
        <v>107690</v>
      </c>
    </row>
    <row r="43" spans="1:16" ht="30" x14ac:dyDescent="0.25">
      <c r="A43" s="3" t="s">
        <v>24</v>
      </c>
      <c r="B43" s="3" t="s">
        <v>124</v>
      </c>
      <c r="C43" s="3" t="s">
        <v>190</v>
      </c>
      <c r="D43" s="3" t="s">
        <v>64</v>
      </c>
      <c r="E43" s="20">
        <v>1</v>
      </c>
      <c r="F43" s="3" t="s">
        <v>147</v>
      </c>
      <c r="G43" s="4">
        <v>285000</v>
      </c>
      <c r="H43" s="4">
        <v>100000</v>
      </c>
      <c r="I43" s="4">
        <f t="shared" si="0"/>
        <v>285000</v>
      </c>
      <c r="J43" s="4">
        <f t="shared" si="1"/>
        <v>100000</v>
      </c>
      <c r="K43" s="4">
        <v>581000</v>
      </c>
      <c r="L43" s="4">
        <f t="shared" si="2"/>
        <v>385000</v>
      </c>
      <c r="M43" s="4">
        <f t="shared" si="3"/>
        <v>196000</v>
      </c>
      <c r="N43" s="3" t="s">
        <v>60</v>
      </c>
      <c r="O43" s="3" t="s">
        <v>148</v>
      </c>
      <c r="P43" s="4">
        <f t="shared" si="4"/>
        <v>0</v>
      </c>
    </row>
    <row r="44" spans="1:16" ht="30" x14ac:dyDescent="0.25">
      <c r="A44" s="3" t="s">
        <v>24</v>
      </c>
      <c r="B44" s="3" t="s">
        <v>124</v>
      </c>
      <c r="C44" s="3" t="s">
        <v>191</v>
      </c>
      <c r="D44" s="3" t="s">
        <v>159</v>
      </c>
      <c r="E44" s="20">
        <v>1</v>
      </c>
      <c r="F44" s="3" t="s">
        <v>158</v>
      </c>
      <c r="G44" s="4">
        <v>4825250</v>
      </c>
      <c r="H44" s="4">
        <v>1460942</v>
      </c>
      <c r="I44" s="4">
        <f t="shared" si="0"/>
        <v>4825250</v>
      </c>
      <c r="J44" s="4">
        <f t="shared" si="1"/>
        <v>1460942</v>
      </c>
      <c r="K44" s="4">
        <v>9816700</v>
      </c>
      <c r="L44" s="4">
        <f t="shared" si="2"/>
        <v>6286192</v>
      </c>
      <c r="M44" s="4">
        <f t="shared" si="3"/>
        <v>3530508</v>
      </c>
      <c r="N44" s="3" t="s">
        <v>192</v>
      </c>
      <c r="O44" s="3" t="s">
        <v>192</v>
      </c>
      <c r="P44" s="4">
        <f t="shared" si="4"/>
        <v>0</v>
      </c>
    </row>
    <row r="45" spans="1:16" ht="30" x14ac:dyDescent="0.25">
      <c r="A45" s="3" t="s">
        <v>24</v>
      </c>
      <c r="B45" s="3" t="s">
        <v>124</v>
      </c>
      <c r="C45" s="3" t="s">
        <v>193</v>
      </c>
      <c r="D45" s="3" t="s">
        <v>194</v>
      </c>
      <c r="E45" s="20">
        <v>100</v>
      </c>
      <c r="F45" s="3" t="s">
        <v>147</v>
      </c>
      <c r="G45" s="4">
        <v>330000</v>
      </c>
      <c r="H45" s="4">
        <v>10000</v>
      </c>
      <c r="I45" s="4">
        <f t="shared" si="0"/>
        <v>33000000</v>
      </c>
      <c r="J45" s="4">
        <f t="shared" si="1"/>
        <v>1000000</v>
      </c>
      <c r="K45" s="4">
        <v>39500000</v>
      </c>
      <c r="L45" s="4">
        <f t="shared" si="2"/>
        <v>34000000</v>
      </c>
      <c r="M45" s="4">
        <f t="shared" si="3"/>
        <v>5500000</v>
      </c>
      <c r="N45" s="3" t="s">
        <v>148</v>
      </c>
      <c r="O45" s="3" t="s">
        <v>148</v>
      </c>
      <c r="P45" s="4">
        <f t="shared" si="4"/>
        <v>0</v>
      </c>
    </row>
    <row r="46" spans="1:16" ht="30" x14ac:dyDescent="0.25">
      <c r="A46" s="3" t="s">
        <v>24</v>
      </c>
      <c r="B46" s="3" t="s">
        <v>124</v>
      </c>
      <c r="C46" s="3" t="s">
        <v>87</v>
      </c>
      <c r="D46" s="3" t="s">
        <v>194</v>
      </c>
      <c r="E46" s="20">
        <v>100</v>
      </c>
      <c r="F46" s="3" t="s">
        <v>147</v>
      </c>
      <c r="G46" s="4">
        <v>15000</v>
      </c>
      <c r="H46" s="4">
        <v>10000</v>
      </c>
      <c r="I46" s="4">
        <f t="shared" si="0"/>
        <v>1500000</v>
      </c>
      <c r="J46" s="4">
        <f t="shared" si="1"/>
        <v>1000000</v>
      </c>
      <c r="K46" s="4">
        <v>5000000</v>
      </c>
      <c r="L46" s="4">
        <f t="shared" si="2"/>
        <v>2500000</v>
      </c>
      <c r="M46" s="4">
        <f t="shared" si="3"/>
        <v>2500000</v>
      </c>
      <c r="N46" s="3" t="s">
        <v>148</v>
      </c>
      <c r="O46" s="3" t="s">
        <v>148</v>
      </c>
      <c r="P46" s="4">
        <f t="shared" si="4"/>
        <v>0</v>
      </c>
    </row>
    <row r="47" spans="1:16" ht="30" x14ac:dyDescent="0.25">
      <c r="A47" s="3" t="s">
        <v>24</v>
      </c>
      <c r="B47" s="3" t="s">
        <v>124</v>
      </c>
      <c r="C47" s="3" t="s">
        <v>195</v>
      </c>
      <c r="D47" s="3" t="s">
        <v>196</v>
      </c>
      <c r="E47" s="20">
        <v>1</v>
      </c>
      <c r="F47" s="3" t="s">
        <v>197</v>
      </c>
      <c r="G47" s="4">
        <v>4500000</v>
      </c>
      <c r="H47" s="4">
        <v>40000000</v>
      </c>
      <c r="I47" s="4">
        <f t="shared" si="0"/>
        <v>4500000</v>
      </c>
      <c r="J47" s="4">
        <f t="shared" si="1"/>
        <v>40000000</v>
      </c>
      <c r="K47" s="4">
        <v>49500000</v>
      </c>
      <c r="L47" s="4">
        <f t="shared" si="2"/>
        <v>44500000</v>
      </c>
      <c r="M47" s="4">
        <f t="shared" si="3"/>
        <v>5000000</v>
      </c>
      <c r="N47" s="3" t="s">
        <v>148</v>
      </c>
      <c r="O47" s="3" t="s">
        <v>148</v>
      </c>
      <c r="P47" s="4">
        <f t="shared" si="4"/>
        <v>0</v>
      </c>
    </row>
    <row r="48" spans="1:16" ht="30" x14ac:dyDescent="0.25">
      <c r="A48" s="3" t="s">
        <v>24</v>
      </c>
      <c r="B48" s="3" t="s">
        <v>124</v>
      </c>
      <c r="C48" s="3" t="s">
        <v>198</v>
      </c>
      <c r="D48" s="3" t="s">
        <v>196</v>
      </c>
      <c r="E48" s="20">
        <v>1</v>
      </c>
      <c r="F48" s="3" t="s">
        <v>197</v>
      </c>
      <c r="G48" s="4">
        <v>1000000</v>
      </c>
      <c r="H48" s="4">
        <v>10000000</v>
      </c>
      <c r="I48" s="4">
        <f t="shared" si="0"/>
        <v>1000000</v>
      </c>
      <c r="J48" s="4">
        <f t="shared" si="1"/>
        <v>10000000</v>
      </c>
      <c r="K48" s="4">
        <v>8500000</v>
      </c>
      <c r="L48" s="4">
        <f t="shared" si="2"/>
        <v>11000000</v>
      </c>
      <c r="M48" s="4">
        <f t="shared" si="3"/>
        <v>-2500000</v>
      </c>
      <c r="N48" s="3" t="s">
        <v>148</v>
      </c>
      <c r="O48" s="3" t="s">
        <v>148</v>
      </c>
      <c r="P48" s="4">
        <f t="shared" si="4"/>
        <v>0</v>
      </c>
    </row>
    <row r="49" spans="1:16" ht="30" x14ac:dyDescent="0.25">
      <c r="A49" s="3" t="s">
        <v>24</v>
      </c>
      <c r="B49" s="3" t="s">
        <v>124</v>
      </c>
      <c r="C49" s="3" t="s">
        <v>199</v>
      </c>
      <c r="D49" s="3" t="s">
        <v>200</v>
      </c>
      <c r="E49" s="20">
        <v>6.7</v>
      </c>
      <c r="F49" s="3" t="s">
        <v>197</v>
      </c>
      <c r="G49" s="4">
        <v>1500000</v>
      </c>
      <c r="H49" s="4">
        <v>10000000</v>
      </c>
      <c r="I49" s="4">
        <f t="shared" si="0"/>
        <v>10050000</v>
      </c>
      <c r="J49" s="4">
        <f t="shared" si="1"/>
        <v>67000000</v>
      </c>
      <c r="K49" s="4">
        <v>80400000</v>
      </c>
      <c r="L49" s="4">
        <f t="shared" si="2"/>
        <v>77050000</v>
      </c>
      <c r="M49" s="4">
        <f t="shared" si="3"/>
        <v>3350000</v>
      </c>
      <c r="N49" s="3" t="s">
        <v>148</v>
      </c>
      <c r="O49" s="3" t="s">
        <v>148</v>
      </c>
      <c r="P49" s="4">
        <f t="shared" si="4"/>
        <v>0</v>
      </c>
    </row>
    <row r="50" spans="1:16" ht="30" x14ac:dyDescent="0.25">
      <c r="A50" s="3" t="s">
        <v>24</v>
      </c>
      <c r="B50" s="3" t="s">
        <v>124</v>
      </c>
      <c r="C50" s="3" t="s">
        <v>201</v>
      </c>
      <c r="D50" s="3" t="s">
        <v>202</v>
      </c>
      <c r="E50" s="20">
        <v>38.400000000000013</v>
      </c>
      <c r="F50" s="3" t="s">
        <v>197</v>
      </c>
      <c r="G50" s="4">
        <v>0</v>
      </c>
      <c r="H50" s="4">
        <v>20000</v>
      </c>
      <c r="I50" s="4">
        <f t="shared" si="0"/>
        <v>0</v>
      </c>
      <c r="J50" s="4">
        <f t="shared" si="1"/>
        <v>768000.00000000023</v>
      </c>
      <c r="K50" s="4">
        <v>1190400</v>
      </c>
      <c r="L50" s="4">
        <f t="shared" si="2"/>
        <v>768000.00000000023</v>
      </c>
      <c r="M50" s="4">
        <f t="shared" si="3"/>
        <v>422399.99999999977</v>
      </c>
      <c r="N50" s="3" t="s">
        <v>203</v>
      </c>
      <c r="O50" s="3" t="s">
        <v>148</v>
      </c>
      <c r="P50" s="4">
        <f t="shared" si="4"/>
        <v>0</v>
      </c>
    </row>
    <row r="51" spans="1:16" ht="30" x14ac:dyDescent="0.25">
      <c r="A51" s="3" t="s">
        <v>24</v>
      </c>
      <c r="B51" s="3" t="s">
        <v>124</v>
      </c>
      <c r="C51" s="3" t="s">
        <v>204</v>
      </c>
      <c r="D51" s="3" t="s">
        <v>202</v>
      </c>
      <c r="E51" s="20">
        <v>38.400000000000013</v>
      </c>
      <c r="F51" s="3" t="s">
        <v>197</v>
      </c>
      <c r="G51" s="4">
        <v>0</v>
      </c>
      <c r="H51" s="4">
        <v>20000</v>
      </c>
      <c r="I51" s="4">
        <f t="shared" si="0"/>
        <v>0</v>
      </c>
      <c r="J51" s="4">
        <f t="shared" si="1"/>
        <v>768000.00000000023</v>
      </c>
      <c r="K51" s="4">
        <v>1344000</v>
      </c>
      <c r="L51" s="4">
        <f t="shared" si="2"/>
        <v>768000.00000000023</v>
      </c>
      <c r="M51" s="4">
        <f t="shared" si="3"/>
        <v>575999.99999999977</v>
      </c>
      <c r="N51" s="3" t="s">
        <v>203</v>
      </c>
      <c r="O51" s="3" t="s">
        <v>148</v>
      </c>
      <c r="P51" s="4">
        <f t="shared" si="4"/>
        <v>0</v>
      </c>
    </row>
    <row r="52" spans="1:16" ht="30" x14ac:dyDescent="0.25">
      <c r="A52" s="3" t="s">
        <v>24</v>
      </c>
      <c r="B52" s="3" t="s">
        <v>123</v>
      </c>
      <c r="C52" s="3" t="s">
        <v>146</v>
      </c>
      <c r="D52" s="3" t="s">
        <v>64</v>
      </c>
      <c r="E52" s="20">
        <v>1</v>
      </c>
      <c r="F52" s="3" t="s">
        <v>147</v>
      </c>
      <c r="G52" s="4">
        <v>7500000</v>
      </c>
      <c r="H52" s="4">
        <v>1000000</v>
      </c>
      <c r="I52" s="4">
        <f t="shared" si="0"/>
        <v>7500000</v>
      </c>
      <c r="J52" s="4">
        <f t="shared" si="1"/>
        <v>1000000</v>
      </c>
      <c r="K52" s="4">
        <v>12853000</v>
      </c>
      <c r="L52" s="4">
        <f t="shared" si="2"/>
        <v>8500000</v>
      </c>
      <c r="M52" s="4">
        <f t="shared" si="3"/>
        <v>4353000</v>
      </c>
      <c r="N52" s="3" t="s">
        <v>148</v>
      </c>
      <c r="O52" s="3" t="s">
        <v>148</v>
      </c>
      <c r="P52" s="4">
        <f t="shared" si="4"/>
        <v>0</v>
      </c>
    </row>
    <row r="53" spans="1:16" ht="30" x14ac:dyDescent="0.25">
      <c r="A53" s="3" t="s">
        <v>24</v>
      </c>
      <c r="B53" s="3" t="s">
        <v>123</v>
      </c>
      <c r="C53" s="3" t="s">
        <v>149</v>
      </c>
      <c r="D53" s="3" t="s">
        <v>64</v>
      </c>
      <c r="E53" s="20">
        <v>6</v>
      </c>
      <c r="F53" s="3" t="s">
        <v>147</v>
      </c>
      <c r="G53" s="4">
        <v>252000</v>
      </c>
      <c r="H53" s="4">
        <v>100000</v>
      </c>
      <c r="I53" s="4">
        <f t="shared" si="0"/>
        <v>1512000</v>
      </c>
      <c r="J53" s="4">
        <f t="shared" si="1"/>
        <v>600000</v>
      </c>
      <c r="K53" s="4">
        <v>4950000</v>
      </c>
      <c r="L53" s="4">
        <f t="shared" si="2"/>
        <v>2112000</v>
      </c>
      <c r="M53" s="4">
        <f t="shared" si="3"/>
        <v>2838000</v>
      </c>
      <c r="N53" s="3" t="s">
        <v>60</v>
      </c>
      <c r="O53" s="3" t="s">
        <v>148</v>
      </c>
      <c r="P53" s="4">
        <f t="shared" si="4"/>
        <v>0</v>
      </c>
    </row>
    <row r="54" spans="1:16" ht="30" x14ac:dyDescent="0.25">
      <c r="A54" s="3" t="s">
        <v>24</v>
      </c>
      <c r="B54" s="3" t="s">
        <v>123</v>
      </c>
      <c r="C54" s="3" t="s">
        <v>150</v>
      </c>
      <c r="D54" s="3" t="s">
        <v>64</v>
      </c>
      <c r="E54" s="20">
        <v>6</v>
      </c>
      <c r="F54" s="3" t="s">
        <v>147</v>
      </c>
      <c r="G54" s="4">
        <v>205000</v>
      </c>
      <c r="H54" s="4">
        <v>100000</v>
      </c>
      <c r="I54" s="4">
        <f t="shared" si="0"/>
        <v>1230000</v>
      </c>
      <c r="J54" s="4">
        <f t="shared" si="1"/>
        <v>600000</v>
      </c>
      <c r="K54" s="4">
        <v>3186000</v>
      </c>
      <c r="L54" s="4">
        <f t="shared" si="2"/>
        <v>1830000</v>
      </c>
      <c r="M54" s="4">
        <f t="shared" si="3"/>
        <v>1356000</v>
      </c>
      <c r="N54" s="3" t="s">
        <v>60</v>
      </c>
      <c r="O54" s="3" t="s">
        <v>148</v>
      </c>
      <c r="P54" s="4">
        <f t="shared" si="4"/>
        <v>0</v>
      </c>
    </row>
    <row r="55" spans="1:16" ht="30" x14ac:dyDescent="0.25">
      <c r="A55" s="3" t="s">
        <v>24</v>
      </c>
      <c r="B55" s="3" t="s">
        <v>123</v>
      </c>
      <c r="C55" s="3" t="s">
        <v>151</v>
      </c>
      <c r="D55" s="3" t="s">
        <v>64</v>
      </c>
      <c r="E55" s="20">
        <v>60</v>
      </c>
      <c r="F55" s="3" t="s">
        <v>147</v>
      </c>
      <c r="G55" s="4">
        <v>242000</v>
      </c>
      <c r="H55" s="4">
        <v>100000</v>
      </c>
      <c r="I55" s="4">
        <f t="shared" si="0"/>
        <v>14520000</v>
      </c>
      <c r="J55" s="4">
        <f t="shared" si="1"/>
        <v>6000000</v>
      </c>
      <c r="K55" s="4">
        <v>33660000</v>
      </c>
      <c r="L55" s="4">
        <f t="shared" si="2"/>
        <v>20520000</v>
      </c>
      <c r="M55" s="4">
        <f t="shared" si="3"/>
        <v>13140000</v>
      </c>
      <c r="N55" s="3" t="s">
        <v>60</v>
      </c>
      <c r="O55" s="3" t="s">
        <v>148</v>
      </c>
      <c r="P55" s="4">
        <f t="shared" si="4"/>
        <v>0</v>
      </c>
    </row>
    <row r="56" spans="1:16" ht="30" x14ac:dyDescent="0.25">
      <c r="A56" s="3" t="s">
        <v>24</v>
      </c>
      <c r="B56" s="3" t="s">
        <v>123</v>
      </c>
      <c r="C56" s="3" t="s">
        <v>77</v>
      </c>
      <c r="D56" s="3" t="s">
        <v>64</v>
      </c>
      <c r="E56" s="20">
        <v>20</v>
      </c>
      <c r="F56" s="3" t="s">
        <v>147</v>
      </c>
      <c r="G56" s="4">
        <v>116000</v>
      </c>
      <c r="H56" s="4">
        <v>100000</v>
      </c>
      <c r="I56" s="4">
        <f t="shared" si="0"/>
        <v>2320000</v>
      </c>
      <c r="J56" s="4">
        <f t="shared" si="1"/>
        <v>2000000</v>
      </c>
      <c r="K56" s="4">
        <v>3620000</v>
      </c>
      <c r="L56" s="4">
        <f t="shared" si="2"/>
        <v>4320000</v>
      </c>
      <c r="M56" s="4">
        <f t="shared" si="3"/>
        <v>-700000</v>
      </c>
      <c r="N56" s="3" t="s">
        <v>60</v>
      </c>
      <c r="O56" s="3" t="s">
        <v>148</v>
      </c>
      <c r="P56" s="4">
        <f t="shared" si="4"/>
        <v>0</v>
      </c>
    </row>
    <row r="57" spans="1:16" ht="30" x14ac:dyDescent="0.25">
      <c r="A57" s="3" t="s">
        <v>24</v>
      </c>
      <c r="B57" s="3" t="s">
        <v>123</v>
      </c>
      <c r="C57" s="3" t="s">
        <v>153</v>
      </c>
      <c r="D57" s="3" t="s">
        <v>72</v>
      </c>
      <c r="E57" s="20">
        <v>700</v>
      </c>
      <c r="F57" s="3" t="s">
        <v>147</v>
      </c>
      <c r="G57" s="4">
        <v>5000</v>
      </c>
      <c r="H57" s="4">
        <v>5000</v>
      </c>
      <c r="I57" s="4">
        <f t="shared" si="0"/>
        <v>3500000</v>
      </c>
      <c r="J57" s="4">
        <f t="shared" si="1"/>
        <v>3500000</v>
      </c>
      <c r="K57" s="4">
        <v>15400000</v>
      </c>
      <c r="L57" s="4">
        <f t="shared" si="2"/>
        <v>7000000</v>
      </c>
      <c r="M57" s="4">
        <f t="shared" si="3"/>
        <v>8400000</v>
      </c>
      <c r="N57" s="3" t="s">
        <v>148</v>
      </c>
      <c r="O57" s="3" t="s">
        <v>148</v>
      </c>
      <c r="P57" s="4">
        <f t="shared" si="4"/>
        <v>0</v>
      </c>
    </row>
    <row r="58" spans="1:16" ht="30" x14ac:dyDescent="0.25">
      <c r="A58" s="3" t="s">
        <v>24</v>
      </c>
      <c r="B58" s="3" t="s">
        <v>123</v>
      </c>
      <c r="C58" s="3" t="s">
        <v>154</v>
      </c>
      <c r="D58" s="3" t="s">
        <v>72</v>
      </c>
      <c r="E58" s="20">
        <v>150</v>
      </c>
      <c r="F58" s="3" t="s">
        <v>147</v>
      </c>
      <c r="G58" s="4">
        <v>7500</v>
      </c>
      <c r="H58" s="4">
        <v>5000</v>
      </c>
      <c r="I58" s="4">
        <f t="shared" si="0"/>
        <v>1125000</v>
      </c>
      <c r="J58" s="4">
        <f t="shared" si="1"/>
        <v>750000</v>
      </c>
      <c r="K58" s="4">
        <v>8250000</v>
      </c>
      <c r="L58" s="4">
        <f t="shared" si="2"/>
        <v>1875000</v>
      </c>
      <c r="M58" s="4">
        <f t="shared" si="3"/>
        <v>6375000</v>
      </c>
      <c r="N58" s="3" t="s">
        <v>148</v>
      </c>
      <c r="O58" s="3" t="s">
        <v>148</v>
      </c>
      <c r="P58" s="4">
        <f t="shared" si="4"/>
        <v>0</v>
      </c>
    </row>
    <row r="59" spans="1:16" ht="30" x14ac:dyDescent="0.25">
      <c r="A59" s="3" t="s">
        <v>24</v>
      </c>
      <c r="B59" s="3" t="s">
        <v>123</v>
      </c>
      <c r="C59" s="3" t="s">
        <v>155</v>
      </c>
      <c r="D59" s="3" t="s">
        <v>72</v>
      </c>
      <c r="E59" s="20">
        <v>300</v>
      </c>
      <c r="F59" s="3" t="s">
        <v>147</v>
      </c>
      <c r="G59" s="4">
        <v>6000</v>
      </c>
      <c r="H59" s="4">
        <v>20000</v>
      </c>
      <c r="I59" s="4">
        <f t="shared" si="0"/>
        <v>1800000</v>
      </c>
      <c r="J59" s="4">
        <f t="shared" si="1"/>
        <v>6000000</v>
      </c>
      <c r="K59" s="4">
        <v>12600000</v>
      </c>
      <c r="L59" s="4">
        <f t="shared" si="2"/>
        <v>7800000</v>
      </c>
      <c r="M59" s="4">
        <f t="shared" si="3"/>
        <v>4800000</v>
      </c>
      <c r="N59" s="3" t="s">
        <v>148</v>
      </c>
      <c r="O59" s="3" t="s">
        <v>148</v>
      </c>
      <c r="P59" s="4">
        <f t="shared" si="4"/>
        <v>0</v>
      </c>
    </row>
    <row r="60" spans="1:16" ht="30" x14ac:dyDescent="0.25">
      <c r="A60" s="3" t="s">
        <v>24</v>
      </c>
      <c r="B60" s="3" t="s">
        <v>123</v>
      </c>
      <c r="C60" s="3" t="s">
        <v>156</v>
      </c>
      <c r="D60" s="3" t="s">
        <v>157</v>
      </c>
      <c r="E60" s="20">
        <v>1</v>
      </c>
      <c r="F60" s="3" t="s">
        <v>147</v>
      </c>
      <c r="G60" s="4">
        <v>252000</v>
      </c>
      <c r="H60" s="4">
        <v>20000</v>
      </c>
      <c r="I60" s="4">
        <f t="shared" si="0"/>
        <v>252000</v>
      </c>
      <c r="J60" s="4">
        <f t="shared" si="1"/>
        <v>20000</v>
      </c>
      <c r="K60" s="4">
        <v>1350000</v>
      </c>
      <c r="L60" s="4">
        <f t="shared" si="2"/>
        <v>272000</v>
      </c>
      <c r="M60" s="4">
        <f t="shared" si="3"/>
        <v>1078000</v>
      </c>
      <c r="N60" s="3" t="s">
        <v>60</v>
      </c>
      <c r="O60" s="3" t="s">
        <v>148</v>
      </c>
      <c r="P60" s="4">
        <f t="shared" si="4"/>
        <v>0</v>
      </c>
    </row>
    <row r="61" spans="1:16" ht="30" x14ac:dyDescent="0.25">
      <c r="A61" s="3" t="s">
        <v>24</v>
      </c>
      <c r="B61" s="3" t="s">
        <v>123</v>
      </c>
      <c r="C61" s="3" t="s">
        <v>158</v>
      </c>
      <c r="D61" s="3" t="s">
        <v>159</v>
      </c>
      <c r="E61" s="20">
        <v>1</v>
      </c>
      <c r="F61" s="3" t="s">
        <v>158</v>
      </c>
      <c r="G61" s="4">
        <v>1687950</v>
      </c>
      <c r="H61" s="4">
        <v>1023500</v>
      </c>
      <c r="I61" s="4">
        <f t="shared" si="0"/>
        <v>1687950</v>
      </c>
      <c r="J61" s="4">
        <f t="shared" si="1"/>
        <v>1023500</v>
      </c>
      <c r="K61" s="4">
        <v>4793450</v>
      </c>
      <c r="L61" s="4">
        <f t="shared" si="2"/>
        <v>2711450</v>
      </c>
      <c r="M61" s="4">
        <f t="shared" si="3"/>
        <v>2082000</v>
      </c>
      <c r="N61" s="3" t="s">
        <v>205</v>
      </c>
      <c r="O61" s="3" t="s">
        <v>205</v>
      </c>
      <c r="P61" s="4">
        <f t="shared" si="4"/>
        <v>0</v>
      </c>
    </row>
    <row r="62" spans="1:16" ht="30" x14ac:dyDescent="0.25">
      <c r="A62" s="3" t="s">
        <v>24</v>
      </c>
      <c r="B62" s="3" t="s">
        <v>123</v>
      </c>
      <c r="C62" s="3" t="s">
        <v>161</v>
      </c>
      <c r="D62" s="3" t="s">
        <v>64</v>
      </c>
      <c r="E62" s="20">
        <v>1</v>
      </c>
      <c r="F62" s="3" t="s">
        <v>147</v>
      </c>
      <c r="G62" s="4">
        <v>1260000</v>
      </c>
      <c r="H62" s="4">
        <v>500000</v>
      </c>
      <c r="I62" s="4">
        <f t="shared" si="0"/>
        <v>1260000</v>
      </c>
      <c r="J62" s="4">
        <f t="shared" si="1"/>
        <v>500000</v>
      </c>
      <c r="K62" s="4">
        <v>3500000</v>
      </c>
      <c r="L62" s="4">
        <f t="shared" si="2"/>
        <v>1760000</v>
      </c>
      <c r="M62" s="4">
        <f t="shared" si="3"/>
        <v>1740000</v>
      </c>
      <c r="N62" s="3" t="s">
        <v>60</v>
      </c>
      <c r="O62" s="3" t="s">
        <v>148</v>
      </c>
      <c r="P62" s="4">
        <f t="shared" si="4"/>
        <v>0</v>
      </c>
    </row>
    <row r="63" spans="1:16" ht="30" x14ac:dyDescent="0.25">
      <c r="A63" s="3" t="s">
        <v>24</v>
      </c>
      <c r="B63" s="3" t="s">
        <v>123</v>
      </c>
      <c r="C63" s="3" t="s">
        <v>75</v>
      </c>
      <c r="D63" s="3" t="s">
        <v>72</v>
      </c>
      <c r="E63" s="20">
        <v>80</v>
      </c>
      <c r="F63" s="3" t="s">
        <v>147</v>
      </c>
      <c r="G63" s="4">
        <v>140000</v>
      </c>
      <c r="H63" s="4">
        <v>100000</v>
      </c>
      <c r="I63" s="4">
        <f t="shared" si="0"/>
        <v>11200000</v>
      </c>
      <c r="J63" s="4">
        <f t="shared" si="1"/>
        <v>8000000</v>
      </c>
      <c r="K63" s="4">
        <v>28240000</v>
      </c>
      <c r="L63" s="4">
        <f t="shared" si="2"/>
        <v>19200000</v>
      </c>
      <c r="M63" s="4">
        <f t="shared" si="3"/>
        <v>9040000</v>
      </c>
      <c r="N63" s="3" t="s">
        <v>148</v>
      </c>
      <c r="O63" s="3" t="s">
        <v>148</v>
      </c>
      <c r="P63" s="4">
        <f t="shared" si="4"/>
        <v>0</v>
      </c>
    </row>
    <row r="64" spans="1:16" ht="30" x14ac:dyDescent="0.25">
      <c r="A64" s="3" t="s">
        <v>24</v>
      </c>
      <c r="B64" s="3" t="s">
        <v>123</v>
      </c>
      <c r="C64" s="3" t="s">
        <v>74</v>
      </c>
      <c r="D64" s="3" t="s">
        <v>72</v>
      </c>
      <c r="E64" s="20">
        <v>36</v>
      </c>
      <c r="F64" s="3" t="s">
        <v>147</v>
      </c>
      <c r="G64" s="4">
        <v>120000</v>
      </c>
      <c r="H64" s="4">
        <v>100000</v>
      </c>
      <c r="I64" s="4">
        <f t="shared" si="0"/>
        <v>4320000</v>
      </c>
      <c r="J64" s="4">
        <f t="shared" si="1"/>
        <v>3600000</v>
      </c>
      <c r="K64" s="4">
        <v>10116000</v>
      </c>
      <c r="L64" s="4">
        <f t="shared" si="2"/>
        <v>7920000</v>
      </c>
      <c r="M64" s="4">
        <f t="shared" si="3"/>
        <v>2196000</v>
      </c>
      <c r="N64" s="3" t="s">
        <v>148</v>
      </c>
      <c r="O64" s="3" t="s">
        <v>148</v>
      </c>
      <c r="P64" s="4">
        <f t="shared" si="4"/>
        <v>0</v>
      </c>
    </row>
    <row r="65" spans="1:16" ht="30" x14ac:dyDescent="0.25">
      <c r="A65" s="3" t="s">
        <v>24</v>
      </c>
      <c r="B65" s="3" t="s">
        <v>123</v>
      </c>
      <c r="C65" s="3" t="s">
        <v>162</v>
      </c>
      <c r="D65" s="3" t="s">
        <v>64</v>
      </c>
      <c r="E65" s="20">
        <v>10</v>
      </c>
      <c r="F65" s="3" t="s">
        <v>147</v>
      </c>
      <c r="G65" s="4">
        <v>53000</v>
      </c>
      <c r="H65" s="4">
        <v>25000</v>
      </c>
      <c r="I65" s="4">
        <f t="shared" si="0"/>
        <v>530000</v>
      </c>
      <c r="J65" s="4">
        <f t="shared" si="1"/>
        <v>250000</v>
      </c>
      <c r="K65" s="4">
        <v>1254000</v>
      </c>
      <c r="L65" s="4">
        <f t="shared" si="2"/>
        <v>780000</v>
      </c>
      <c r="M65" s="4">
        <f t="shared" si="3"/>
        <v>474000</v>
      </c>
      <c r="N65" s="3" t="s">
        <v>60</v>
      </c>
      <c r="O65" s="3" t="s">
        <v>148</v>
      </c>
      <c r="P65" s="4">
        <f t="shared" si="4"/>
        <v>0</v>
      </c>
    </row>
    <row r="66" spans="1:16" ht="30" x14ac:dyDescent="0.25">
      <c r="A66" s="3" t="s">
        <v>24</v>
      </c>
      <c r="B66" s="3" t="s">
        <v>123</v>
      </c>
      <c r="C66" s="3" t="s">
        <v>163</v>
      </c>
      <c r="D66" s="3" t="s">
        <v>64</v>
      </c>
      <c r="E66" s="20">
        <v>10</v>
      </c>
      <c r="F66" s="3" t="s">
        <v>147</v>
      </c>
      <c r="G66" s="4">
        <v>42000</v>
      </c>
      <c r="H66" s="4">
        <v>25000</v>
      </c>
      <c r="I66" s="4">
        <f t="shared" si="0"/>
        <v>420000</v>
      </c>
      <c r="J66" s="4">
        <f t="shared" si="1"/>
        <v>250000</v>
      </c>
      <c r="K66" s="4">
        <v>880000</v>
      </c>
      <c r="L66" s="4">
        <f t="shared" si="2"/>
        <v>670000</v>
      </c>
      <c r="M66" s="4">
        <f t="shared" si="3"/>
        <v>210000</v>
      </c>
      <c r="N66" s="3" t="s">
        <v>60</v>
      </c>
      <c r="O66" s="3" t="s">
        <v>148</v>
      </c>
      <c r="P66" s="4">
        <f t="shared" si="4"/>
        <v>0</v>
      </c>
    </row>
    <row r="67" spans="1:16" ht="30" x14ac:dyDescent="0.25">
      <c r="A67" s="3" t="s">
        <v>24</v>
      </c>
      <c r="B67" s="3" t="s">
        <v>123</v>
      </c>
      <c r="C67" s="3" t="s">
        <v>164</v>
      </c>
      <c r="D67" s="3" t="s">
        <v>64</v>
      </c>
      <c r="E67" s="20">
        <v>5</v>
      </c>
      <c r="F67" s="3" t="s">
        <v>147</v>
      </c>
      <c r="G67" s="4">
        <v>95000</v>
      </c>
      <c r="H67" s="4">
        <v>25000</v>
      </c>
      <c r="I67" s="4">
        <f t="shared" si="0"/>
        <v>475000</v>
      </c>
      <c r="J67" s="4">
        <f t="shared" si="1"/>
        <v>125000</v>
      </c>
      <c r="K67" s="4">
        <v>980000</v>
      </c>
      <c r="L67" s="4">
        <f t="shared" si="2"/>
        <v>600000</v>
      </c>
      <c r="M67" s="4">
        <f t="shared" si="3"/>
        <v>380000</v>
      </c>
      <c r="N67" s="3" t="s">
        <v>60</v>
      </c>
      <c r="O67" s="3" t="s">
        <v>148</v>
      </c>
      <c r="P67" s="4">
        <f t="shared" si="4"/>
        <v>0</v>
      </c>
    </row>
    <row r="68" spans="1:16" ht="30" x14ac:dyDescent="0.25">
      <c r="A68" s="3" t="s">
        <v>24</v>
      </c>
      <c r="B68" s="3" t="s">
        <v>123</v>
      </c>
      <c r="C68" s="3" t="s">
        <v>165</v>
      </c>
      <c r="D68" s="3" t="s">
        <v>64</v>
      </c>
      <c r="E68" s="20">
        <v>4</v>
      </c>
      <c r="F68" s="3" t="s">
        <v>147</v>
      </c>
      <c r="G68" s="4">
        <v>75000</v>
      </c>
      <c r="H68" s="4">
        <v>25000</v>
      </c>
      <c r="I68" s="4">
        <f t="shared" ref="I68:I131" si="5">E68*G68</f>
        <v>300000</v>
      </c>
      <c r="J68" s="4">
        <f t="shared" ref="J68:J131" si="6">E68*H68</f>
        <v>100000</v>
      </c>
      <c r="K68" s="4">
        <v>644000</v>
      </c>
      <c r="L68" s="4">
        <f t="shared" ref="L68:L131" si="7">I68+J68</f>
        <v>400000</v>
      </c>
      <c r="M68" s="4">
        <f t="shared" ref="M68:M131" si="8">K68-L68</f>
        <v>244000</v>
      </c>
      <c r="N68" s="3" t="s">
        <v>148</v>
      </c>
      <c r="O68" s="3" t="s">
        <v>148</v>
      </c>
      <c r="P68" s="4">
        <f t="shared" ref="P68:P131" si="9">IF(LEFT(N68,3)="Tạm",I68,0)+IF(LEFT(O68,3)="Tạm",J68,0)</f>
        <v>0</v>
      </c>
    </row>
    <row r="69" spans="1:16" ht="30" x14ac:dyDescent="0.25">
      <c r="A69" s="3" t="s">
        <v>24</v>
      </c>
      <c r="B69" s="3" t="s">
        <v>123</v>
      </c>
      <c r="C69" s="3" t="s">
        <v>166</v>
      </c>
      <c r="D69" s="3" t="s">
        <v>78</v>
      </c>
      <c r="E69" s="20">
        <v>20</v>
      </c>
      <c r="F69" s="3" t="s">
        <v>147</v>
      </c>
      <c r="G69" s="4">
        <v>110000</v>
      </c>
      <c r="H69" s="4">
        <v>25000</v>
      </c>
      <c r="I69" s="4">
        <f t="shared" si="5"/>
        <v>2200000</v>
      </c>
      <c r="J69" s="4">
        <f t="shared" si="6"/>
        <v>500000</v>
      </c>
      <c r="K69" s="4">
        <v>6240000</v>
      </c>
      <c r="L69" s="4">
        <f t="shared" si="7"/>
        <v>2700000</v>
      </c>
      <c r="M69" s="4">
        <f t="shared" si="8"/>
        <v>3540000</v>
      </c>
      <c r="N69" s="3" t="s">
        <v>148</v>
      </c>
      <c r="O69" s="3" t="s">
        <v>148</v>
      </c>
      <c r="P69" s="4">
        <f t="shared" si="9"/>
        <v>0</v>
      </c>
    </row>
    <row r="70" spans="1:16" ht="30" x14ac:dyDescent="0.25">
      <c r="A70" s="3" t="s">
        <v>24</v>
      </c>
      <c r="B70" s="3" t="s">
        <v>123</v>
      </c>
      <c r="C70" s="3" t="s">
        <v>167</v>
      </c>
      <c r="D70" s="3" t="s">
        <v>72</v>
      </c>
      <c r="E70" s="20">
        <v>10</v>
      </c>
      <c r="F70" s="3" t="s">
        <v>147</v>
      </c>
      <c r="G70" s="4">
        <v>25000</v>
      </c>
      <c r="H70" s="4">
        <v>15000</v>
      </c>
      <c r="I70" s="4">
        <f t="shared" si="5"/>
        <v>250000</v>
      </c>
      <c r="J70" s="4">
        <f t="shared" si="6"/>
        <v>150000</v>
      </c>
      <c r="K70" s="4">
        <v>490000</v>
      </c>
      <c r="L70" s="4">
        <f t="shared" si="7"/>
        <v>400000</v>
      </c>
      <c r="M70" s="4">
        <f t="shared" si="8"/>
        <v>90000</v>
      </c>
      <c r="N70" s="3" t="s">
        <v>148</v>
      </c>
      <c r="O70" s="3" t="s">
        <v>148</v>
      </c>
      <c r="P70" s="4">
        <f t="shared" si="9"/>
        <v>0</v>
      </c>
    </row>
    <row r="71" spans="1:16" ht="30" x14ac:dyDescent="0.25">
      <c r="A71" s="3" t="s">
        <v>24</v>
      </c>
      <c r="B71" s="3" t="s">
        <v>123</v>
      </c>
      <c r="C71" s="3" t="s">
        <v>168</v>
      </c>
      <c r="D71" s="3" t="s">
        <v>64</v>
      </c>
      <c r="E71" s="20">
        <v>5</v>
      </c>
      <c r="F71" s="3" t="s">
        <v>147</v>
      </c>
      <c r="G71" s="4">
        <v>300000</v>
      </c>
      <c r="H71" s="4">
        <v>100000</v>
      </c>
      <c r="I71" s="4">
        <f t="shared" si="5"/>
        <v>1500000</v>
      </c>
      <c r="J71" s="4">
        <f t="shared" si="6"/>
        <v>500000</v>
      </c>
      <c r="K71" s="4">
        <v>2560000</v>
      </c>
      <c r="L71" s="4">
        <f t="shared" si="7"/>
        <v>2000000</v>
      </c>
      <c r="M71" s="4">
        <f t="shared" si="8"/>
        <v>560000</v>
      </c>
      <c r="N71" s="3" t="s">
        <v>148</v>
      </c>
      <c r="O71" s="3" t="s">
        <v>148</v>
      </c>
      <c r="P71" s="4">
        <f t="shared" si="9"/>
        <v>0</v>
      </c>
    </row>
    <row r="72" spans="1:16" ht="30" x14ac:dyDescent="0.25">
      <c r="A72" s="3" t="s">
        <v>24</v>
      </c>
      <c r="B72" s="3" t="s">
        <v>123</v>
      </c>
      <c r="C72" s="3" t="s">
        <v>169</v>
      </c>
      <c r="D72" s="3" t="s">
        <v>64</v>
      </c>
      <c r="E72" s="20">
        <v>2</v>
      </c>
      <c r="F72" s="3" t="s">
        <v>147</v>
      </c>
      <c r="G72" s="4">
        <v>300000</v>
      </c>
      <c r="H72" s="4">
        <v>100000</v>
      </c>
      <c r="I72" s="4">
        <f t="shared" si="5"/>
        <v>600000</v>
      </c>
      <c r="J72" s="4">
        <f t="shared" si="6"/>
        <v>200000</v>
      </c>
      <c r="K72" s="4">
        <v>1920000</v>
      </c>
      <c r="L72" s="4">
        <f t="shared" si="7"/>
        <v>800000</v>
      </c>
      <c r="M72" s="4">
        <f t="shared" si="8"/>
        <v>1120000</v>
      </c>
      <c r="N72" s="3" t="s">
        <v>148</v>
      </c>
      <c r="O72" s="3" t="s">
        <v>148</v>
      </c>
      <c r="P72" s="4">
        <f t="shared" si="9"/>
        <v>0</v>
      </c>
    </row>
    <row r="73" spans="1:16" ht="30" x14ac:dyDescent="0.25">
      <c r="A73" s="3" t="s">
        <v>24</v>
      </c>
      <c r="B73" s="3" t="s">
        <v>123</v>
      </c>
      <c r="C73" s="3" t="s">
        <v>170</v>
      </c>
      <c r="D73" s="3" t="s">
        <v>64</v>
      </c>
      <c r="E73" s="20">
        <v>2</v>
      </c>
      <c r="F73" s="3" t="s">
        <v>147</v>
      </c>
      <c r="G73" s="4">
        <v>500000</v>
      </c>
      <c r="H73" s="4">
        <v>100000</v>
      </c>
      <c r="I73" s="4">
        <f t="shared" si="5"/>
        <v>1000000</v>
      </c>
      <c r="J73" s="4">
        <f t="shared" si="6"/>
        <v>200000</v>
      </c>
      <c r="K73" s="4">
        <v>1744000</v>
      </c>
      <c r="L73" s="4">
        <f t="shared" si="7"/>
        <v>1200000</v>
      </c>
      <c r="M73" s="4">
        <f t="shared" si="8"/>
        <v>544000</v>
      </c>
      <c r="N73" s="3" t="s">
        <v>148</v>
      </c>
      <c r="O73" s="3" t="s">
        <v>148</v>
      </c>
      <c r="P73" s="4">
        <f t="shared" si="9"/>
        <v>0</v>
      </c>
    </row>
    <row r="74" spans="1:16" ht="30" x14ac:dyDescent="0.25">
      <c r="A74" s="3" t="s">
        <v>24</v>
      </c>
      <c r="B74" s="3" t="s">
        <v>123</v>
      </c>
      <c r="C74" s="3" t="s">
        <v>171</v>
      </c>
      <c r="D74" s="3" t="s">
        <v>64</v>
      </c>
      <c r="E74" s="20">
        <v>4</v>
      </c>
      <c r="F74" s="3" t="s">
        <v>147</v>
      </c>
      <c r="G74" s="4">
        <v>250000</v>
      </c>
      <c r="H74" s="4">
        <v>100000</v>
      </c>
      <c r="I74" s="4">
        <f t="shared" si="5"/>
        <v>1000000</v>
      </c>
      <c r="J74" s="4">
        <f t="shared" si="6"/>
        <v>400000</v>
      </c>
      <c r="K74" s="4">
        <v>1864000</v>
      </c>
      <c r="L74" s="4">
        <f t="shared" si="7"/>
        <v>1400000</v>
      </c>
      <c r="M74" s="4">
        <f t="shared" si="8"/>
        <v>464000</v>
      </c>
      <c r="N74" s="3" t="s">
        <v>148</v>
      </c>
      <c r="O74" s="3" t="s">
        <v>148</v>
      </c>
      <c r="P74" s="4">
        <f t="shared" si="9"/>
        <v>0</v>
      </c>
    </row>
    <row r="75" spans="1:16" ht="30" x14ac:dyDescent="0.25">
      <c r="A75" s="3" t="s">
        <v>24</v>
      </c>
      <c r="B75" s="3" t="s">
        <v>123</v>
      </c>
      <c r="C75" s="3" t="s">
        <v>172</v>
      </c>
      <c r="D75" s="3" t="s">
        <v>78</v>
      </c>
      <c r="E75" s="20">
        <v>2</v>
      </c>
      <c r="F75" s="3" t="s">
        <v>147</v>
      </c>
      <c r="G75" s="4">
        <v>300000</v>
      </c>
      <c r="H75" s="4">
        <v>100000</v>
      </c>
      <c r="I75" s="4">
        <f t="shared" si="5"/>
        <v>600000</v>
      </c>
      <c r="J75" s="4">
        <f t="shared" si="6"/>
        <v>200000</v>
      </c>
      <c r="K75" s="4">
        <v>1848000</v>
      </c>
      <c r="L75" s="4">
        <f t="shared" si="7"/>
        <v>800000</v>
      </c>
      <c r="M75" s="4">
        <f t="shared" si="8"/>
        <v>1048000</v>
      </c>
      <c r="N75" s="3" t="s">
        <v>148</v>
      </c>
      <c r="O75" s="3" t="s">
        <v>148</v>
      </c>
      <c r="P75" s="4">
        <f t="shared" si="9"/>
        <v>0</v>
      </c>
    </row>
    <row r="76" spans="1:16" ht="30" x14ac:dyDescent="0.25">
      <c r="A76" s="3" t="s">
        <v>24</v>
      </c>
      <c r="B76" s="3" t="s">
        <v>123</v>
      </c>
      <c r="C76" s="3" t="s">
        <v>173</v>
      </c>
      <c r="D76" s="3" t="s">
        <v>64</v>
      </c>
      <c r="E76" s="20">
        <v>2</v>
      </c>
      <c r="F76" s="3" t="s">
        <v>147</v>
      </c>
      <c r="G76" s="4">
        <v>450000</v>
      </c>
      <c r="H76" s="4">
        <v>100000</v>
      </c>
      <c r="I76" s="4">
        <f t="shared" si="5"/>
        <v>900000</v>
      </c>
      <c r="J76" s="4">
        <f t="shared" si="6"/>
        <v>200000</v>
      </c>
      <c r="K76" s="4">
        <v>1628000</v>
      </c>
      <c r="L76" s="4">
        <f t="shared" si="7"/>
        <v>1100000</v>
      </c>
      <c r="M76" s="4">
        <f t="shared" si="8"/>
        <v>528000</v>
      </c>
      <c r="N76" s="3" t="s">
        <v>148</v>
      </c>
      <c r="O76" s="3" t="s">
        <v>148</v>
      </c>
      <c r="P76" s="4">
        <f t="shared" si="9"/>
        <v>0</v>
      </c>
    </row>
    <row r="77" spans="1:16" ht="30" x14ac:dyDescent="0.25">
      <c r="A77" s="3" t="s">
        <v>24</v>
      </c>
      <c r="B77" s="3" t="s">
        <v>123</v>
      </c>
      <c r="C77" s="3" t="s">
        <v>79</v>
      </c>
      <c r="D77" s="3" t="s">
        <v>78</v>
      </c>
      <c r="E77" s="20">
        <v>1</v>
      </c>
      <c r="F77" s="3" t="s">
        <v>147</v>
      </c>
      <c r="G77" s="4">
        <v>2205000</v>
      </c>
      <c r="H77" s="4">
        <v>150000</v>
      </c>
      <c r="I77" s="4">
        <f t="shared" si="5"/>
        <v>2205000</v>
      </c>
      <c r="J77" s="4">
        <f t="shared" si="6"/>
        <v>150000</v>
      </c>
      <c r="K77" s="4">
        <v>4188000</v>
      </c>
      <c r="L77" s="4">
        <f t="shared" si="7"/>
        <v>2355000</v>
      </c>
      <c r="M77" s="4">
        <f t="shared" si="8"/>
        <v>1833000</v>
      </c>
      <c r="N77" s="3" t="s">
        <v>60</v>
      </c>
      <c r="O77" s="3" t="s">
        <v>148</v>
      </c>
      <c r="P77" s="4">
        <f t="shared" si="9"/>
        <v>0</v>
      </c>
    </row>
    <row r="78" spans="1:16" ht="30" x14ac:dyDescent="0.25">
      <c r="A78" s="3" t="s">
        <v>24</v>
      </c>
      <c r="B78" s="3" t="s">
        <v>123</v>
      </c>
      <c r="C78" s="3" t="s">
        <v>174</v>
      </c>
      <c r="D78" s="3" t="s">
        <v>64</v>
      </c>
      <c r="E78" s="20">
        <v>2</v>
      </c>
      <c r="F78" s="3" t="s">
        <v>147</v>
      </c>
      <c r="G78" s="4">
        <v>150000</v>
      </c>
      <c r="H78" s="4">
        <v>50000</v>
      </c>
      <c r="I78" s="4">
        <f t="shared" si="5"/>
        <v>300000</v>
      </c>
      <c r="J78" s="4">
        <f t="shared" si="6"/>
        <v>100000</v>
      </c>
      <c r="K78" s="4">
        <v>636000</v>
      </c>
      <c r="L78" s="4">
        <f t="shared" si="7"/>
        <v>400000</v>
      </c>
      <c r="M78" s="4">
        <f t="shared" si="8"/>
        <v>236000</v>
      </c>
      <c r="N78" s="3" t="s">
        <v>148</v>
      </c>
      <c r="O78" s="3" t="s">
        <v>148</v>
      </c>
      <c r="P78" s="4">
        <f t="shared" si="9"/>
        <v>0</v>
      </c>
    </row>
    <row r="79" spans="1:16" ht="30" x14ac:dyDescent="0.25">
      <c r="A79" s="3" t="s">
        <v>24</v>
      </c>
      <c r="B79" s="3" t="s">
        <v>123</v>
      </c>
      <c r="C79" s="3" t="s">
        <v>175</v>
      </c>
      <c r="D79" s="3" t="s">
        <v>176</v>
      </c>
      <c r="E79" s="20">
        <v>1</v>
      </c>
      <c r="F79" s="3" t="s">
        <v>147</v>
      </c>
      <c r="G79" s="4">
        <v>5500000</v>
      </c>
      <c r="H79" s="4">
        <v>500000</v>
      </c>
      <c r="I79" s="4">
        <f t="shared" si="5"/>
        <v>5500000</v>
      </c>
      <c r="J79" s="4">
        <f t="shared" si="6"/>
        <v>500000</v>
      </c>
      <c r="K79" s="4">
        <v>10527000</v>
      </c>
      <c r="L79" s="4">
        <f t="shared" si="7"/>
        <v>6000000</v>
      </c>
      <c r="M79" s="4">
        <f t="shared" si="8"/>
        <v>4527000</v>
      </c>
      <c r="N79" s="3" t="s">
        <v>148</v>
      </c>
      <c r="O79" s="3" t="s">
        <v>148</v>
      </c>
      <c r="P79" s="4">
        <f t="shared" si="9"/>
        <v>0</v>
      </c>
    </row>
    <row r="80" spans="1:16" ht="30" x14ac:dyDescent="0.25">
      <c r="A80" s="3" t="s">
        <v>24</v>
      </c>
      <c r="B80" s="3" t="s">
        <v>123</v>
      </c>
      <c r="C80" s="3" t="s">
        <v>177</v>
      </c>
      <c r="D80" s="3" t="s">
        <v>59</v>
      </c>
      <c r="E80" s="20">
        <v>1</v>
      </c>
      <c r="F80" s="3" t="s">
        <v>178</v>
      </c>
      <c r="G80" s="4">
        <v>15400000</v>
      </c>
      <c r="H80" s="4">
        <v>0</v>
      </c>
      <c r="I80" s="4">
        <f t="shared" si="5"/>
        <v>15400000</v>
      </c>
      <c r="J80" s="4">
        <f t="shared" si="6"/>
        <v>0</v>
      </c>
      <c r="K80" s="4">
        <v>28000000</v>
      </c>
      <c r="L80" s="4">
        <f t="shared" si="7"/>
        <v>15400000</v>
      </c>
      <c r="M80" s="4">
        <f t="shared" si="8"/>
        <v>12600000</v>
      </c>
      <c r="N80" s="3" t="s">
        <v>60</v>
      </c>
      <c r="O80" s="3"/>
      <c r="P80" s="4">
        <f t="shared" si="9"/>
        <v>0</v>
      </c>
    </row>
    <row r="81" spans="1:16" ht="30" x14ac:dyDescent="0.25">
      <c r="A81" s="3" t="s">
        <v>24</v>
      </c>
      <c r="B81" s="3" t="s">
        <v>123</v>
      </c>
      <c r="C81" s="3" t="s">
        <v>179</v>
      </c>
      <c r="D81" s="3" t="s">
        <v>59</v>
      </c>
      <c r="E81" s="20">
        <v>1</v>
      </c>
      <c r="F81" s="3" t="s">
        <v>147</v>
      </c>
      <c r="G81" s="4">
        <v>0</v>
      </c>
      <c r="H81" s="4">
        <v>3000000</v>
      </c>
      <c r="I81" s="4">
        <f t="shared" si="5"/>
        <v>0</v>
      </c>
      <c r="J81" s="4">
        <f t="shared" si="6"/>
        <v>3000000</v>
      </c>
      <c r="K81" s="4">
        <v>4736000</v>
      </c>
      <c r="L81" s="4">
        <f t="shared" si="7"/>
        <v>3000000</v>
      </c>
      <c r="M81" s="4">
        <f t="shared" si="8"/>
        <v>1736000</v>
      </c>
      <c r="N81" s="3"/>
      <c r="O81" s="3" t="s">
        <v>148</v>
      </c>
      <c r="P81" s="4">
        <f t="shared" si="9"/>
        <v>0</v>
      </c>
    </row>
    <row r="82" spans="1:16" ht="30" x14ac:dyDescent="0.25">
      <c r="A82" s="3" t="s">
        <v>24</v>
      </c>
      <c r="B82" s="3" t="s">
        <v>123</v>
      </c>
      <c r="C82" s="3" t="s">
        <v>180</v>
      </c>
      <c r="D82" s="3" t="s">
        <v>59</v>
      </c>
      <c r="E82" s="20">
        <v>1</v>
      </c>
      <c r="F82" s="3" t="s">
        <v>178</v>
      </c>
      <c r="G82" s="4">
        <v>27720000</v>
      </c>
      <c r="H82" s="4">
        <v>0</v>
      </c>
      <c r="I82" s="4">
        <f t="shared" si="5"/>
        <v>27720000</v>
      </c>
      <c r="J82" s="4">
        <f t="shared" si="6"/>
        <v>0</v>
      </c>
      <c r="K82" s="4">
        <v>45000000</v>
      </c>
      <c r="L82" s="4">
        <f t="shared" si="7"/>
        <v>27720000</v>
      </c>
      <c r="M82" s="4">
        <f t="shared" si="8"/>
        <v>17280000</v>
      </c>
      <c r="N82" s="3" t="s">
        <v>60</v>
      </c>
      <c r="O82" s="3"/>
      <c r="P82" s="4">
        <f t="shared" si="9"/>
        <v>0</v>
      </c>
    </row>
    <row r="83" spans="1:16" ht="30" x14ac:dyDescent="0.25">
      <c r="A83" s="3" t="s">
        <v>24</v>
      </c>
      <c r="B83" s="3" t="s">
        <v>123</v>
      </c>
      <c r="C83" s="3" t="s">
        <v>181</v>
      </c>
      <c r="D83" s="3" t="s">
        <v>59</v>
      </c>
      <c r="E83" s="20">
        <v>1</v>
      </c>
      <c r="F83" s="3" t="s">
        <v>147</v>
      </c>
      <c r="G83" s="4">
        <v>0</v>
      </c>
      <c r="H83" s="4">
        <v>3000000</v>
      </c>
      <c r="I83" s="4">
        <f t="shared" si="5"/>
        <v>0</v>
      </c>
      <c r="J83" s="4">
        <f t="shared" si="6"/>
        <v>3000000</v>
      </c>
      <c r="K83" s="4">
        <v>4736000</v>
      </c>
      <c r="L83" s="4">
        <f t="shared" si="7"/>
        <v>3000000</v>
      </c>
      <c r="M83" s="4">
        <f t="shared" si="8"/>
        <v>1736000</v>
      </c>
      <c r="N83" s="3"/>
      <c r="O83" s="3" t="s">
        <v>148</v>
      </c>
      <c r="P83" s="4">
        <f t="shared" si="9"/>
        <v>0</v>
      </c>
    </row>
    <row r="84" spans="1:16" ht="30" x14ac:dyDescent="0.25">
      <c r="A84" s="3" t="s">
        <v>24</v>
      </c>
      <c r="B84" s="3" t="s">
        <v>123</v>
      </c>
      <c r="C84" s="3" t="s">
        <v>182</v>
      </c>
      <c r="D84" s="3" t="s">
        <v>176</v>
      </c>
      <c r="E84" s="20">
        <v>6</v>
      </c>
      <c r="F84" s="3" t="s">
        <v>147</v>
      </c>
      <c r="G84" s="4">
        <v>368000</v>
      </c>
      <c r="H84" s="4">
        <v>400000</v>
      </c>
      <c r="I84" s="4">
        <f t="shared" si="5"/>
        <v>2208000</v>
      </c>
      <c r="J84" s="4">
        <f t="shared" si="6"/>
        <v>2400000</v>
      </c>
      <c r="K84" s="4">
        <v>6090000</v>
      </c>
      <c r="L84" s="4">
        <f t="shared" si="7"/>
        <v>4608000</v>
      </c>
      <c r="M84" s="4">
        <f t="shared" si="8"/>
        <v>1482000</v>
      </c>
      <c r="N84" s="3" t="s">
        <v>148</v>
      </c>
      <c r="O84" s="3" t="s">
        <v>148</v>
      </c>
      <c r="P84" s="4">
        <f t="shared" si="9"/>
        <v>0</v>
      </c>
    </row>
    <row r="85" spans="1:16" ht="30" x14ac:dyDescent="0.25">
      <c r="A85" s="3" t="s">
        <v>24</v>
      </c>
      <c r="B85" s="3" t="s">
        <v>123</v>
      </c>
      <c r="C85" s="3" t="s">
        <v>183</v>
      </c>
      <c r="D85" s="3" t="s">
        <v>184</v>
      </c>
      <c r="E85" s="20">
        <v>6</v>
      </c>
      <c r="F85" s="3" t="s">
        <v>147</v>
      </c>
      <c r="G85" s="4">
        <v>600000</v>
      </c>
      <c r="H85" s="21">
        <v>67692</v>
      </c>
      <c r="I85" s="4">
        <f t="shared" si="5"/>
        <v>3600000</v>
      </c>
      <c r="J85" s="4">
        <f t="shared" si="6"/>
        <v>406152</v>
      </c>
      <c r="K85" s="4">
        <v>4992000</v>
      </c>
      <c r="L85" s="4">
        <f t="shared" si="7"/>
        <v>4006152</v>
      </c>
      <c r="M85" s="4">
        <f t="shared" si="8"/>
        <v>985848</v>
      </c>
      <c r="N85" s="3" t="s">
        <v>148</v>
      </c>
      <c r="O85" s="22" t="s">
        <v>185</v>
      </c>
      <c r="P85" s="4">
        <f t="shared" si="9"/>
        <v>406152</v>
      </c>
    </row>
    <row r="86" spans="1:16" ht="30" x14ac:dyDescent="0.25">
      <c r="A86" s="3" t="s">
        <v>24</v>
      </c>
      <c r="B86" s="3" t="s">
        <v>123</v>
      </c>
      <c r="C86" s="3" t="s">
        <v>186</v>
      </c>
      <c r="D86" s="3" t="s">
        <v>64</v>
      </c>
      <c r="E86" s="20">
        <v>6</v>
      </c>
      <c r="F86" s="3" t="s">
        <v>147</v>
      </c>
      <c r="G86" s="4">
        <v>166000</v>
      </c>
      <c r="H86" s="4">
        <v>100000</v>
      </c>
      <c r="I86" s="4">
        <f t="shared" si="5"/>
        <v>996000</v>
      </c>
      <c r="J86" s="4">
        <f t="shared" si="6"/>
        <v>600000</v>
      </c>
      <c r="K86" s="4">
        <v>3000000</v>
      </c>
      <c r="L86" s="4">
        <f t="shared" si="7"/>
        <v>1596000</v>
      </c>
      <c r="M86" s="4">
        <f t="shared" si="8"/>
        <v>1404000</v>
      </c>
      <c r="N86" s="3" t="s">
        <v>60</v>
      </c>
      <c r="O86" s="3" t="s">
        <v>148</v>
      </c>
      <c r="P86" s="4">
        <f t="shared" si="9"/>
        <v>0</v>
      </c>
    </row>
    <row r="87" spans="1:16" ht="30" x14ac:dyDescent="0.25">
      <c r="A87" s="3" t="s">
        <v>24</v>
      </c>
      <c r="B87" s="3" t="s">
        <v>123</v>
      </c>
      <c r="C87" s="3" t="s">
        <v>187</v>
      </c>
      <c r="D87" s="3" t="s">
        <v>78</v>
      </c>
      <c r="E87" s="20">
        <v>4</v>
      </c>
      <c r="F87" s="3" t="s">
        <v>178</v>
      </c>
      <c r="G87" s="4">
        <v>53000</v>
      </c>
      <c r="H87" s="4">
        <v>50000</v>
      </c>
      <c r="I87" s="4">
        <f t="shared" si="5"/>
        <v>212000</v>
      </c>
      <c r="J87" s="4">
        <f t="shared" si="6"/>
        <v>200000</v>
      </c>
      <c r="K87" s="4">
        <v>908000</v>
      </c>
      <c r="L87" s="4">
        <f t="shared" si="7"/>
        <v>412000</v>
      </c>
      <c r="M87" s="4">
        <f t="shared" si="8"/>
        <v>496000</v>
      </c>
      <c r="N87" s="3" t="s">
        <v>60</v>
      </c>
      <c r="O87" s="3" t="s">
        <v>148</v>
      </c>
      <c r="P87" s="4">
        <f t="shared" si="9"/>
        <v>0</v>
      </c>
    </row>
    <row r="88" spans="1:16" x14ac:dyDescent="0.25">
      <c r="A88" s="3" t="s">
        <v>24</v>
      </c>
      <c r="B88" s="3" t="s">
        <v>123</v>
      </c>
      <c r="C88" s="3" t="s">
        <v>69</v>
      </c>
      <c r="D88" s="3" t="s">
        <v>64</v>
      </c>
      <c r="E88" s="20">
        <v>4</v>
      </c>
      <c r="F88" s="3" t="s">
        <v>178</v>
      </c>
      <c r="G88" s="4">
        <v>137000</v>
      </c>
      <c r="H88" s="21">
        <v>31538</v>
      </c>
      <c r="I88" s="4">
        <f t="shared" si="5"/>
        <v>548000</v>
      </c>
      <c r="J88" s="4">
        <f t="shared" si="6"/>
        <v>126152</v>
      </c>
      <c r="K88" s="4">
        <v>1044000</v>
      </c>
      <c r="L88" s="4">
        <f t="shared" si="7"/>
        <v>674152</v>
      </c>
      <c r="M88" s="4">
        <f t="shared" si="8"/>
        <v>369848</v>
      </c>
      <c r="N88" s="3" t="s">
        <v>60</v>
      </c>
      <c r="O88" s="22" t="s">
        <v>185</v>
      </c>
      <c r="P88" s="4">
        <f t="shared" si="9"/>
        <v>126152</v>
      </c>
    </row>
    <row r="89" spans="1:16" x14ac:dyDescent="0.25">
      <c r="A89" s="3" t="s">
        <v>24</v>
      </c>
      <c r="B89" s="3" t="s">
        <v>123</v>
      </c>
      <c r="C89" s="3" t="s">
        <v>188</v>
      </c>
      <c r="D89" s="3" t="s">
        <v>189</v>
      </c>
      <c r="E89" s="20">
        <v>8</v>
      </c>
      <c r="F89" s="3" t="s">
        <v>178</v>
      </c>
      <c r="G89" s="4">
        <v>652000</v>
      </c>
      <c r="H89" s="21">
        <v>10769</v>
      </c>
      <c r="I89" s="4">
        <f t="shared" si="5"/>
        <v>5216000</v>
      </c>
      <c r="J89" s="4">
        <f t="shared" si="6"/>
        <v>86152</v>
      </c>
      <c r="K89" s="4">
        <v>6064000</v>
      </c>
      <c r="L89" s="4">
        <f t="shared" si="7"/>
        <v>5302152</v>
      </c>
      <c r="M89" s="4">
        <f t="shared" si="8"/>
        <v>761848</v>
      </c>
      <c r="N89" s="3" t="s">
        <v>60</v>
      </c>
      <c r="O89" s="22" t="s">
        <v>185</v>
      </c>
      <c r="P89" s="4">
        <f t="shared" si="9"/>
        <v>86152</v>
      </c>
    </row>
    <row r="90" spans="1:16" ht="30" x14ac:dyDescent="0.25">
      <c r="A90" s="3" t="s">
        <v>24</v>
      </c>
      <c r="B90" s="3" t="s">
        <v>123</v>
      </c>
      <c r="C90" s="3" t="s">
        <v>190</v>
      </c>
      <c r="D90" s="3" t="s">
        <v>64</v>
      </c>
      <c r="E90" s="20">
        <v>1</v>
      </c>
      <c r="F90" s="3" t="s">
        <v>147</v>
      </c>
      <c r="G90" s="4">
        <v>285000</v>
      </c>
      <c r="H90" s="4">
        <v>100000</v>
      </c>
      <c r="I90" s="4">
        <f t="shared" si="5"/>
        <v>285000</v>
      </c>
      <c r="J90" s="4">
        <f t="shared" si="6"/>
        <v>100000</v>
      </c>
      <c r="K90" s="4">
        <v>581000</v>
      </c>
      <c r="L90" s="4">
        <f t="shared" si="7"/>
        <v>385000</v>
      </c>
      <c r="M90" s="4">
        <f t="shared" si="8"/>
        <v>196000</v>
      </c>
      <c r="N90" s="3" t="s">
        <v>60</v>
      </c>
      <c r="O90" s="3" t="s">
        <v>148</v>
      </c>
      <c r="P90" s="4">
        <f t="shared" si="9"/>
        <v>0</v>
      </c>
    </row>
    <row r="91" spans="1:16" ht="30" x14ac:dyDescent="0.25">
      <c r="A91" s="3" t="s">
        <v>24</v>
      </c>
      <c r="B91" s="3" t="s">
        <v>123</v>
      </c>
      <c r="C91" s="3" t="s">
        <v>193</v>
      </c>
      <c r="D91" s="3" t="s">
        <v>194</v>
      </c>
      <c r="E91" s="20">
        <v>100</v>
      </c>
      <c r="F91" s="3" t="s">
        <v>147</v>
      </c>
      <c r="G91" s="4">
        <v>330000</v>
      </c>
      <c r="H91" s="4">
        <v>10000</v>
      </c>
      <c r="I91" s="4">
        <f t="shared" si="5"/>
        <v>33000000</v>
      </c>
      <c r="J91" s="4">
        <f t="shared" si="6"/>
        <v>1000000</v>
      </c>
      <c r="K91" s="4">
        <v>39800000</v>
      </c>
      <c r="L91" s="4">
        <f t="shared" si="7"/>
        <v>34000000</v>
      </c>
      <c r="M91" s="4">
        <f t="shared" si="8"/>
        <v>5800000</v>
      </c>
      <c r="N91" s="3" t="s">
        <v>148</v>
      </c>
      <c r="O91" s="3" t="s">
        <v>148</v>
      </c>
      <c r="P91" s="4">
        <f t="shared" si="9"/>
        <v>0</v>
      </c>
    </row>
    <row r="92" spans="1:16" ht="30" x14ac:dyDescent="0.25">
      <c r="A92" s="3" t="s">
        <v>24</v>
      </c>
      <c r="B92" s="3" t="s">
        <v>123</v>
      </c>
      <c r="C92" s="3" t="s">
        <v>87</v>
      </c>
      <c r="D92" s="3" t="s">
        <v>194</v>
      </c>
      <c r="E92" s="20">
        <v>100</v>
      </c>
      <c r="F92" s="3" t="s">
        <v>147</v>
      </c>
      <c r="G92" s="4">
        <v>15000</v>
      </c>
      <c r="H92" s="4">
        <v>10000</v>
      </c>
      <c r="I92" s="4">
        <f t="shared" si="5"/>
        <v>1500000</v>
      </c>
      <c r="J92" s="4">
        <f t="shared" si="6"/>
        <v>1000000</v>
      </c>
      <c r="K92" s="4">
        <v>3500000</v>
      </c>
      <c r="L92" s="4">
        <f t="shared" si="7"/>
        <v>2500000</v>
      </c>
      <c r="M92" s="4">
        <f t="shared" si="8"/>
        <v>1000000</v>
      </c>
      <c r="N92" s="3" t="s">
        <v>148</v>
      </c>
      <c r="O92" s="3" t="s">
        <v>148</v>
      </c>
      <c r="P92" s="4">
        <f t="shared" si="9"/>
        <v>0</v>
      </c>
    </row>
    <row r="93" spans="1:16" ht="30" x14ac:dyDescent="0.25">
      <c r="A93" s="3" t="s">
        <v>24</v>
      </c>
      <c r="B93" s="3" t="s">
        <v>123</v>
      </c>
      <c r="C93" s="3" t="s">
        <v>62</v>
      </c>
      <c r="D93" s="3" t="s">
        <v>64</v>
      </c>
      <c r="E93" s="20">
        <v>2</v>
      </c>
      <c r="F93" s="3" t="s">
        <v>178</v>
      </c>
      <c r="G93" s="4">
        <v>442000</v>
      </c>
      <c r="H93" s="4">
        <v>50000</v>
      </c>
      <c r="I93" s="4">
        <f t="shared" si="5"/>
        <v>884000</v>
      </c>
      <c r="J93" s="4">
        <f t="shared" si="6"/>
        <v>100000</v>
      </c>
      <c r="K93" s="4">
        <v>1062000</v>
      </c>
      <c r="L93" s="4">
        <f t="shared" si="7"/>
        <v>984000</v>
      </c>
      <c r="M93" s="4">
        <f t="shared" si="8"/>
        <v>78000</v>
      </c>
      <c r="N93" s="3" t="s">
        <v>60</v>
      </c>
      <c r="O93" s="3" t="s">
        <v>148</v>
      </c>
      <c r="P93" s="4">
        <f t="shared" si="9"/>
        <v>0</v>
      </c>
    </row>
    <row r="94" spans="1:16" ht="30" x14ac:dyDescent="0.25">
      <c r="A94" s="3" t="s">
        <v>24</v>
      </c>
      <c r="B94" s="3" t="s">
        <v>123</v>
      </c>
      <c r="C94" s="3" t="s">
        <v>191</v>
      </c>
      <c r="D94" s="3" t="s">
        <v>159</v>
      </c>
      <c r="E94" s="20">
        <v>1</v>
      </c>
      <c r="F94" s="3" t="s">
        <v>158</v>
      </c>
      <c r="G94" s="4">
        <v>6306450</v>
      </c>
      <c r="H94" s="4">
        <v>1397173</v>
      </c>
      <c r="I94" s="4">
        <f t="shared" si="5"/>
        <v>6306450</v>
      </c>
      <c r="J94" s="4">
        <f t="shared" si="6"/>
        <v>1397173</v>
      </c>
      <c r="K94" s="4">
        <v>11438600</v>
      </c>
      <c r="L94" s="4">
        <f t="shared" si="7"/>
        <v>7703623</v>
      </c>
      <c r="M94" s="4">
        <f t="shared" si="8"/>
        <v>3734977</v>
      </c>
      <c r="N94" s="3" t="s">
        <v>206</v>
      </c>
      <c r="O94" s="3" t="s">
        <v>206</v>
      </c>
      <c r="P94" s="4">
        <f t="shared" si="9"/>
        <v>0</v>
      </c>
    </row>
    <row r="95" spans="1:16" ht="30" x14ac:dyDescent="0.25">
      <c r="A95" s="3" t="s">
        <v>24</v>
      </c>
      <c r="B95" s="3" t="s">
        <v>123</v>
      </c>
      <c r="C95" s="3" t="s">
        <v>201</v>
      </c>
      <c r="D95" s="3" t="s">
        <v>202</v>
      </c>
      <c r="E95" s="20">
        <v>36.799999999999997</v>
      </c>
      <c r="F95" s="3" t="s">
        <v>197</v>
      </c>
      <c r="G95" s="4">
        <v>0</v>
      </c>
      <c r="H95" s="4">
        <v>20000</v>
      </c>
      <c r="I95" s="4">
        <f t="shared" si="5"/>
        <v>0</v>
      </c>
      <c r="J95" s="4">
        <f t="shared" si="6"/>
        <v>736000</v>
      </c>
      <c r="K95" s="4">
        <v>1140800</v>
      </c>
      <c r="L95" s="4">
        <f t="shared" si="7"/>
        <v>736000</v>
      </c>
      <c r="M95" s="4">
        <f t="shared" si="8"/>
        <v>404800</v>
      </c>
      <c r="N95" s="3" t="s">
        <v>203</v>
      </c>
      <c r="O95" s="3" t="s">
        <v>148</v>
      </c>
      <c r="P95" s="4">
        <f t="shared" si="9"/>
        <v>0</v>
      </c>
    </row>
    <row r="96" spans="1:16" ht="30" x14ac:dyDescent="0.25">
      <c r="A96" s="3" t="s">
        <v>24</v>
      </c>
      <c r="B96" s="3" t="s">
        <v>123</v>
      </c>
      <c r="C96" s="3" t="s">
        <v>204</v>
      </c>
      <c r="D96" s="3" t="s">
        <v>202</v>
      </c>
      <c r="E96" s="20">
        <v>36.799999999999997</v>
      </c>
      <c r="F96" s="3" t="s">
        <v>197</v>
      </c>
      <c r="G96" s="4">
        <v>0</v>
      </c>
      <c r="H96" s="4">
        <v>20000</v>
      </c>
      <c r="I96" s="4">
        <f t="shared" si="5"/>
        <v>0</v>
      </c>
      <c r="J96" s="4">
        <f t="shared" si="6"/>
        <v>736000</v>
      </c>
      <c r="K96" s="4">
        <v>1288000</v>
      </c>
      <c r="L96" s="4">
        <f t="shared" si="7"/>
        <v>736000</v>
      </c>
      <c r="M96" s="4">
        <f t="shared" si="8"/>
        <v>552000</v>
      </c>
      <c r="N96" s="3" t="s">
        <v>203</v>
      </c>
      <c r="O96" s="3" t="s">
        <v>148</v>
      </c>
      <c r="P96" s="4">
        <f t="shared" si="9"/>
        <v>0</v>
      </c>
    </row>
    <row r="97" spans="1:16" ht="30" x14ac:dyDescent="0.25">
      <c r="A97" s="3" t="s">
        <v>24</v>
      </c>
      <c r="B97" s="3" t="s">
        <v>123</v>
      </c>
      <c r="C97" s="3" t="s">
        <v>195</v>
      </c>
      <c r="D97" s="3" t="s">
        <v>196</v>
      </c>
      <c r="E97" s="20">
        <v>1</v>
      </c>
      <c r="F97" s="3" t="s">
        <v>197</v>
      </c>
      <c r="G97" s="4">
        <v>4500000</v>
      </c>
      <c r="H97" s="4">
        <v>40000000</v>
      </c>
      <c r="I97" s="4">
        <f t="shared" si="5"/>
        <v>4500000</v>
      </c>
      <c r="J97" s="4">
        <f t="shared" si="6"/>
        <v>40000000</v>
      </c>
      <c r="K97" s="4">
        <v>49500000</v>
      </c>
      <c r="L97" s="4">
        <f t="shared" si="7"/>
        <v>44500000</v>
      </c>
      <c r="M97" s="4">
        <f t="shared" si="8"/>
        <v>5000000</v>
      </c>
      <c r="N97" s="3" t="s">
        <v>148</v>
      </c>
      <c r="O97" s="3" t="s">
        <v>148</v>
      </c>
      <c r="P97" s="4">
        <f t="shared" si="9"/>
        <v>0</v>
      </c>
    </row>
    <row r="98" spans="1:16" ht="30" x14ac:dyDescent="0.25">
      <c r="A98" s="3" t="s">
        <v>24</v>
      </c>
      <c r="B98" s="3" t="s">
        <v>123</v>
      </c>
      <c r="C98" s="3" t="s">
        <v>198</v>
      </c>
      <c r="D98" s="3" t="s">
        <v>196</v>
      </c>
      <c r="E98" s="20">
        <v>1</v>
      </c>
      <c r="F98" s="3" t="s">
        <v>197</v>
      </c>
      <c r="G98" s="4">
        <v>1000000</v>
      </c>
      <c r="H98" s="4">
        <v>10000000</v>
      </c>
      <c r="I98" s="4">
        <f t="shared" si="5"/>
        <v>1000000</v>
      </c>
      <c r="J98" s="4">
        <f t="shared" si="6"/>
        <v>10000000</v>
      </c>
      <c r="K98" s="4">
        <v>8500000</v>
      </c>
      <c r="L98" s="4">
        <f t="shared" si="7"/>
        <v>11000000</v>
      </c>
      <c r="M98" s="4">
        <f t="shared" si="8"/>
        <v>-2500000</v>
      </c>
      <c r="N98" s="3" t="s">
        <v>148</v>
      </c>
      <c r="O98" s="3" t="s">
        <v>148</v>
      </c>
      <c r="P98" s="4">
        <f t="shared" si="9"/>
        <v>0</v>
      </c>
    </row>
    <row r="99" spans="1:16" ht="30" x14ac:dyDescent="0.25">
      <c r="A99" s="3" t="s">
        <v>24</v>
      </c>
      <c r="B99" s="3" t="s">
        <v>122</v>
      </c>
      <c r="C99" s="3" t="s">
        <v>207</v>
      </c>
      <c r="D99" s="3" t="s">
        <v>64</v>
      </c>
      <c r="E99" s="20">
        <v>1</v>
      </c>
      <c r="F99" s="3" t="s">
        <v>147</v>
      </c>
      <c r="G99" s="4">
        <v>6150000</v>
      </c>
      <c r="H99" s="4">
        <v>1000000</v>
      </c>
      <c r="I99" s="4">
        <f t="shared" si="5"/>
        <v>6150000</v>
      </c>
      <c r="J99" s="4">
        <f t="shared" si="6"/>
        <v>1000000</v>
      </c>
      <c r="K99" s="4">
        <v>10721000</v>
      </c>
      <c r="L99" s="4">
        <f t="shared" si="7"/>
        <v>7150000</v>
      </c>
      <c r="M99" s="4">
        <f t="shared" si="8"/>
        <v>3571000</v>
      </c>
      <c r="N99" s="3" t="s">
        <v>60</v>
      </c>
      <c r="O99" s="3" t="s">
        <v>148</v>
      </c>
      <c r="P99" s="4">
        <f t="shared" si="9"/>
        <v>0</v>
      </c>
    </row>
    <row r="100" spans="1:16" ht="30" x14ac:dyDescent="0.25">
      <c r="A100" s="3" t="s">
        <v>24</v>
      </c>
      <c r="B100" s="3" t="s">
        <v>122</v>
      </c>
      <c r="C100" s="3" t="s">
        <v>149</v>
      </c>
      <c r="D100" s="3" t="s">
        <v>64</v>
      </c>
      <c r="E100" s="20">
        <v>6</v>
      </c>
      <c r="F100" s="3" t="s">
        <v>147</v>
      </c>
      <c r="G100" s="4">
        <v>252000</v>
      </c>
      <c r="H100" s="4">
        <v>100000</v>
      </c>
      <c r="I100" s="4">
        <f t="shared" si="5"/>
        <v>1512000</v>
      </c>
      <c r="J100" s="4">
        <f t="shared" si="6"/>
        <v>600000</v>
      </c>
      <c r="K100" s="4">
        <v>4950000</v>
      </c>
      <c r="L100" s="4">
        <f t="shared" si="7"/>
        <v>2112000</v>
      </c>
      <c r="M100" s="4">
        <f t="shared" si="8"/>
        <v>2838000</v>
      </c>
      <c r="N100" s="3" t="s">
        <v>60</v>
      </c>
      <c r="O100" s="3" t="s">
        <v>148</v>
      </c>
      <c r="P100" s="4">
        <f t="shared" si="9"/>
        <v>0</v>
      </c>
    </row>
    <row r="101" spans="1:16" ht="30" x14ac:dyDescent="0.25">
      <c r="A101" s="3" t="s">
        <v>24</v>
      </c>
      <c r="B101" s="3" t="s">
        <v>122</v>
      </c>
      <c r="C101" s="3" t="s">
        <v>150</v>
      </c>
      <c r="D101" s="3" t="s">
        <v>64</v>
      </c>
      <c r="E101" s="20">
        <v>6</v>
      </c>
      <c r="F101" s="3" t="s">
        <v>147</v>
      </c>
      <c r="G101" s="4">
        <v>205000</v>
      </c>
      <c r="H101" s="4">
        <v>100000</v>
      </c>
      <c r="I101" s="4">
        <f t="shared" si="5"/>
        <v>1230000</v>
      </c>
      <c r="J101" s="4">
        <f t="shared" si="6"/>
        <v>600000</v>
      </c>
      <c r="K101" s="4">
        <v>3186000</v>
      </c>
      <c r="L101" s="4">
        <f t="shared" si="7"/>
        <v>1830000</v>
      </c>
      <c r="M101" s="4">
        <f t="shared" si="8"/>
        <v>1356000</v>
      </c>
      <c r="N101" s="3" t="s">
        <v>60</v>
      </c>
      <c r="O101" s="3" t="s">
        <v>148</v>
      </c>
      <c r="P101" s="4">
        <f t="shared" si="9"/>
        <v>0</v>
      </c>
    </row>
    <row r="102" spans="1:16" ht="30" x14ac:dyDescent="0.25">
      <c r="A102" s="3" t="s">
        <v>24</v>
      </c>
      <c r="B102" s="3" t="s">
        <v>122</v>
      </c>
      <c r="C102" s="3" t="s">
        <v>151</v>
      </c>
      <c r="D102" s="3" t="s">
        <v>64</v>
      </c>
      <c r="E102" s="20">
        <v>48</v>
      </c>
      <c r="F102" s="3" t="s">
        <v>147</v>
      </c>
      <c r="G102" s="4">
        <v>242000</v>
      </c>
      <c r="H102" s="4">
        <v>100000</v>
      </c>
      <c r="I102" s="4">
        <f t="shared" si="5"/>
        <v>11616000</v>
      </c>
      <c r="J102" s="4">
        <f t="shared" si="6"/>
        <v>4800000</v>
      </c>
      <c r="K102" s="4">
        <v>26928000</v>
      </c>
      <c r="L102" s="4">
        <f t="shared" si="7"/>
        <v>16416000</v>
      </c>
      <c r="M102" s="4">
        <f t="shared" si="8"/>
        <v>10512000</v>
      </c>
      <c r="N102" s="3" t="s">
        <v>60</v>
      </c>
      <c r="O102" s="3" t="s">
        <v>148</v>
      </c>
      <c r="P102" s="4">
        <f t="shared" si="9"/>
        <v>0</v>
      </c>
    </row>
    <row r="103" spans="1:16" ht="30" x14ac:dyDescent="0.25">
      <c r="A103" s="3" t="s">
        <v>24</v>
      </c>
      <c r="B103" s="3" t="s">
        <v>122</v>
      </c>
      <c r="C103" s="3" t="s">
        <v>77</v>
      </c>
      <c r="D103" s="3" t="s">
        <v>64</v>
      </c>
      <c r="E103" s="20">
        <v>12</v>
      </c>
      <c r="F103" s="3" t="s">
        <v>147</v>
      </c>
      <c r="G103" s="4">
        <v>116000</v>
      </c>
      <c r="H103" s="4">
        <v>100000</v>
      </c>
      <c r="I103" s="4">
        <f t="shared" si="5"/>
        <v>1392000</v>
      </c>
      <c r="J103" s="4">
        <f t="shared" si="6"/>
        <v>1200000</v>
      </c>
      <c r="K103" s="4">
        <v>2172000</v>
      </c>
      <c r="L103" s="4">
        <f t="shared" si="7"/>
        <v>2592000</v>
      </c>
      <c r="M103" s="4">
        <f t="shared" si="8"/>
        <v>-420000</v>
      </c>
      <c r="N103" s="3" t="s">
        <v>60</v>
      </c>
      <c r="O103" s="3" t="s">
        <v>148</v>
      </c>
      <c r="P103" s="4">
        <f t="shared" si="9"/>
        <v>0</v>
      </c>
    </row>
    <row r="104" spans="1:16" ht="30" x14ac:dyDescent="0.25">
      <c r="A104" s="3" t="s">
        <v>24</v>
      </c>
      <c r="B104" s="3" t="s">
        <v>122</v>
      </c>
      <c r="C104" s="3" t="s">
        <v>153</v>
      </c>
      <c r="D104" s="3" t="s">
        <v>72</v>
      </c>
      <c r="E104" s="20">
        <v>600</v>
      </c>
      <c r="F104" s="3" t="s">
        <v>147</v>
      </c>
      <c r="G104" s="4">
        <v>5000</v>
      </c>
      <c r="H104" s="4">
        <v>5000</v>
      </c>
      <c r="I104" s="4">
        <f t="shared" si="5"/>
        <v>3000000</v>
      </c>
      <c r="J104" s="4">
        <f t="shared" si="6"/>
        <v>3000000</v>
      </c>
      <c r="K104" s="4">
        <v>13200000</v>
      </c>
      <c r="L104" s="4">
        <f t="shared" si="7"/>
        <v>6000000</v>
      </c>
      <c r="M104" s="4">
        <f t="shared" si="8"/>
        <v>7200000</v>
      </c>
      <c r="N104" s="3" t="s">
        <v>148</v>
      </c>
      <c r="O104" s="3" t="s">
        <v>148</v>
      </c>
      <c r="P104" s="4">
        <f t="shared" si="9"/>
        <v>0</v>
      </c>
    </row>
    <row r="105" spans="1:16" ht="30" x14ac:dyDescent="0.25">
      <c r="A105" s="3" t="s">
        <v>24</v>
      </c>
      <c r="B105" s="3" t="s">
        <v>122</v>
      </c>
      <c r="C105" s="3" t="s">
        <v>154</v>
      </c>
      <c r="D105" s="3" t="s">
        <v>72</v>
      </c>
      <c r="E105" s="20">
        <v>30</v>
      </c>
      <c r="F105" s="3" t="s">
        <v>147</v>
      </c>
      <c r="G105" s="4">
        <v>7500</v>
      </c>
      <c r="H105" s="4">
        <v>5000</v>
      </c>
      <c r="I105" s="4">
        <f t="shared" si="5"/>
        <v>225000</v>
      </c>
      <c r="J105" s="4">
        <f t="shared" si="6"/>
        <v>150000</v>
      </c>
      <c r="K105" s="4">
        <v>1650000</v>
      </c>
      <c r="L105" s="4">
        <f t="shared" si="7"/>
        <v>375000</v>
      </c>
      <c r="M105" s="4">
        <f t="shared" si="8"/>
        <v>1275000</v>
      </c>
      <c r="N105" s="3" t="s">
        <v>148</v>
      </c>
      <c r="O105" s="3" t="s">
        <v>148</v>
      </c>
      <c r="P105" s="4">
        <f t="shared" si="9"/>
        <v>0</v>
      </c>
    </row>
    <row r="106" spans="1:16" ht="30" x14ac:dyDescent="0.25">
      <c r="A106" s="3" t="s">
        <v>24</v>
      </c>
      <c r="B106" s="3" t="s">
        <v>122</v>
      </c>
      <c r="C106" s="3" t="s">
        <v>155</v>
      </c>
      <c r="D106" s="3" t="s">
        <v>72</v>
      </c>
      <c r="E106" s="20">
        <v>200</v>
      </c>
      <c r="F106" s="3" t="s">
        <v>147</v>
      </c>
      <c r="G106" s="4">
        <v>6000</v>
      </c>
      <c r="H106" s="4">
        <v>20000</v>
      </c>
      <c r="I106" s="4">
        <f t="shared" si="5"/>
        <v>1200000</v>
      </c>
      <c r="J106" s="4">
        <f t="shared" si="6"/>
        <v>4000000</v>
      </c>
      <c r="K106" s="4">
        <v>8400000</v>
      </c>
      <c r="L106" s="4">
        <f t="shared" si="7"/>
        <v>5200000</v>
      </c>
      <c r="M106" s="4">
        <f t="shared" si="8"/>
        <v>3200000</v>
      </c>
      <c r="N106" s="3" t="s">
        <v>148</v>
      </c>
      <c r="O106" s="3" t="s">
        <v>148</v>
      </c>
      <c r="P106" s="4">
        <f t="shared" si="9"/>
        <v>0</v>
      </c>
    </row>
    <row r="107" spans="1:16" ht="30" x14ac:dyDescent="0.25">
      <c r="A107" s="3" t="s">
        <v>24</v>
      </c>
      <c r="B107" s="3" t="s">
        <v>122</v>
      </c>
      <c r="C107" s="3" t="s">
        <v>156</v>
      </c>
      <c r="D107" s="3" t="s">
        <v>157</v>
      </c>
      <c r="E107" s="20">
        <v>1</v>
      </c>
      <c r="F107" s="3" t="s">
        <v>147</v>
      </c>
      <c r="G107" s="4">
        <v>252000</v>
      </c>
      <c r="H107" s="4">
        <v>20000</v>
      </c>
      <c r="I107" s="4">
        <f t="shared" si="5"/>
        <v>252000</v>
      </c>
      <c r="J107" s="4">
        <f t="shared" si="6"/>
        <v>20000</v>
      </c>
      <c r="K107" s="4">
        <v>1350000</v>
      </c>
      <c r="L107" s="4">
        <f t="shared" si="7"/>
        <v>272000</v>
      </c>
      <c r="M107" s="4">
        <f t="shared" si="8"/>
        <v>1078000</v>
      </c>
      <c r="N107" s="3" t="s">
        <v>60</v>
      </c>
      <c r="O107" s="3" t="s">
        <v>148</v>
      </c>
      <c r="P107" s="4">
        <f t="shared" si="9"/>
        <v>0</v>
      </c>
    </row>
    <row r="108" spans="1:16" ht="30" x14ac:dyDescent="0.25">
      <c r="A108" s="3" t="s">
        <v>24</v>
      </c>
      <c r="B108" s="3" t="s">
        <v>122</v>
      </c>
      <c r="C108" s="3" t="s">
        <v>158</v>
      </c>
      <c r="D108" s="3" t="s">
        <v>159</v>
      </c>
      <c r="E108" s="20">
        <v>1</v>
      </c>
      <c r="F108" s="3" t="s">
        <v>158</v>
      </c>
      <c r="G108" s="4">
        <v>1328850</v>
      </c>
      <c r="H108" s="4">
        <v>768500</v>
      </c>
      <c r="I108" s="4">
        <f t="shared" si="5"/>
        <v>1328850</v>
      </c>
      <c r="J108" s="4">
        <f t="shared" si="6"/>
        <v>768500</v>
      </c>
      <c r="K108" s="4">
        <v>3627850</v>
      </c>
      <c r="L108" s="4">
        <f t="shared" si="7"/>
        <v>2097350</v>
      </c>
      <c r="M108" s="4">
        <f t="shared" si="8"/>
        <v>1530500</v>
      </c>
      <c r="N108" s="3" t="s">
        <v>205</v>
      </c>
      <c r="O108" s="3" t="s">
        <v>205</v>
      </c>
      <c r="P108" s="4">
        <f t="shared" si="9"/>
        <v>0</v>
      </c>
    </row>
    <row r="109" spans="1:16" ht="30" x14ac:dyDescent="0.25">
      <c r="A109" s="3" t="s">
        <v>24</v>
      </c>
      <c r="B109" s="3" t="s">
        <v>122</v>
      </c>
      <c r="C109" s="3" t="s">
        <v>161</v>
      </c>
      <c r="D109" s="3" t="s">
        <v>64</v>
      </c>
      <c r="E109" s="20">
        <v>1</v>
      </c>
      <c r="F109" s="3" t="s">
        <v>147</v>
      </c>
      <c r="G109" s="4">
        <v>1260000</v>
      </c>
      <c r="H109" s="4">
        <v>500000</v>
      </c>
      <c r="I109" s="4">
        <f t="shared" si="5"/>
        <v>1260000</v>
      </c>
      <c r="J109" s="4">
        <f t="shared" si="6"/>
        <v>500000</v>
      </c>
      <c r="K109" s="4">
        <v>3500000</v>
      </c>
      <c r="L109" s="4">
        <f t="shared" si="7"/>
        <v>1760000</v>
      </c>
      <c r="M109" s="4">
        <f t="shared" si="8"/>
        <v>1740000</v>
      </c>
      <c r="N109" s="3" t="s">
        <v>60</v>
      </c>
      <c r="O109" s="3" t="s">
        <v>148</v>
      </c>
      <c r="P109" s="4">
        <f t="shared" si="9"/>
        <v>0</v>
      </c>
    </row>
    <row r="110" spans="1:16" ht="30" x14ac:dyDescent="0.25">
      <c r="A110" s="3" t="s">
        <v>24</v>
      </c>
      <c r="B110" s="3" t="s">
        <v>122</v>
      </c>
      <c r="C110" s="3" t="s">
        <v>75</v>
      </c>
      <c r="D110" s="3" t="s">
        <v>72</v>
      </c>
      <c r="E110" s="20">
        <v>60</v>
      </c>
      <c r="F110" s="3" t="s">
        <v>147</v>
      </c>
      <c r="G110" s="4">
        <v>140000</v>
      </c>
      <c r="H110" s="4">
        <v>100000</v>
      </c>
      <c r="I110" s="4">
        <f t="shared" si="5"/>
        <v>8400000</v>
      </c>
      <c r="J110" s="4">
        <f t="shared" si="6"/>
        <v>6000000</v>
      </c>
      <c r="K110" s="4">
        <v>21180000</v>
      </c>
      <c r="L110" s="4">
        <f t="shared" si="7"/>
        <v>14400000</v>
      </c>
      <c r="M110" s="4">
        <f t="shared" si="8"/>
        <v>6780000</v>
      </c>
      <c r="N110" s="3" t="s">
        <v>148</v>
      </c>
      <c r="O110" s="3" t="s">
        <v>148</v>
      </c>
      <c r="P110" s="4">
        <f t="shared" si="9"/>
        <v>0</v>
      </c>
    </row>
    <row r="111" spans="1:16" ht="30" x14ac:dyDescent="0.25">
      <c r="A111" s="3" t="s">
        <v>24</v>
      </c>
      <c r="B111" s="3" t="s">
        <v>122</v>
      </c>
      <c r="C111" s="3" t="s">
        <v>74</v>
      </c>
      <c r="D111" s="3" t="s">
        <v>72</v>
      </c>
      <c r="E111" s="20">
        <v>40</v>
      </c>
      <c r="F111" s="3" t="s">
        <v>147</v>
      </c>
      <c r="G111" s="4">
        <v>120000</v>
      </c>
      <c r="H111" s="4">
        <v>100000</v>
      </c>
      <c r="I111" s="4">
        <f t="shared" si="5"/>
        <v>4800000</v>
      </c>
      <c r="J111" s="4">
        <f t="shared" si="6"/>
        <v>4000000</v>
      </c>
      <c r="K111" s="4">
        <v>11240000</v>
      </c>
      <c r="L111" s="4">
        <f t="shared" si="7"/>
        <v>8800000</v>
      </c>
      <c r="M111" s="4">
        <f t="shared" si="8"/>
        <v>2440000</v>
      </c>
      <c r="N111" s="3" t="s">
        <v>148</v>
      </c>
      <c r="O111" s="3" t="s">
        <v>148</v>
      </c>
      <c r="P111" s="4">
        <f t="shared" si="9"/>
        <v>0</v>
      </c>
    </row>
    <row r="112" spans="1:16" ht="30" x14ac:dyDescent="0.25">
      <c r="A112" s="3" t="s">
        <v>24</v>
      </c>
      <c r="B112" s="3" t="s">
        <v>122</v>
      </c>
      <c r="C112" s="3" t="s">
        <v>162</v>
      </c>
      <c r="D112" s="3" t="s">
        <v>64</v>
      </c>
      <c r="E112" s="20">
        <v>15</v>
      </c>
      <c r="F112" s="3" t="s">
        <v>147</v>
      </c>
      <c r="G112" s="4">
        <v>53000</v>
      </c>
      <c r="H112" s="4">
        <v>25000</v>
      </c>
      <c r="I112" s="4">
        <f t="shared" si="5"/>
        <v>795000</v>
      </c>
      <c r="J112" s="4">
        <f t="shared" si="6"/>
        <v>375000</v>
      </c>
      <c r="K112" s="4">
        <v>1881000</v>
      </c>
      <c r="L112" s="4">
        <f t="shared" si="7"/>
        <v>1170000</v>
      </c>
      <c r="M112" s="4">
        <f t="shared" si="8"/>
        <v>711000</v>
      </c>
      <c r="N112" s="3" t="s">
        <v>60</v>
      </c>
      <c r="O112" s="3" t="s">
        <v>148</v>
      </c>
      <c r="P112" s="4">
        <f t="shared" si="9"/>
        <v>0</v>
      </c>
    </row>
    <row r="113" spans="1:16" ht="30" x14ac:dyDescent="0.25">
      <c r="A113" s="3" t="s">
        <v>24</v>
      </c>
      <c r="B113" s="3" t="s">
        <v>122</v>
      </c>
      <c r="C113" s="3" t="s">
        <v>163</v>
      </c>
      <c r="D113" s="3" t="s">
        <v>64</v>
      </c>
      <c r="E113" s="20">
        <v>40</v>
      </c>
      <c r="F113" s="3" t="s">
        <v>147</v>
      </c>
      <c r="G113" s="4">
        <v>42000</v>
      </c>
      <c r="H113" s="4">
        <v>25000</v>
      </c>
      <c r="I113" s="4">
        <f t="shared" si="5"/>
        <v>1680000</v>
      </c>
      <c r="J113" s="4">
        <f t="shared" si="6"/>
        <v>1000000</v>
      </c>
      <c r="K113" s="4">
        <v>3520000</v>
      </c>
      <c r="L113" s="4">
        <f t="shared" si="7"/>
        <v>2680000</v>
      </c>
      <c r="M113" s="4">
        <f t="shared" si="8"/>
        <v>840000</v>
      </c>
      <c r="N113" s="3" t="s">
        <v>60</v>
      </c>
      <c r="O113" s="3" t="s">
        <v>148</v>
      </c>
      <c r="P113" s="4">
        <f t="shared" si="9"/>
        <v>0</v>
      </c>
    </row>
    <row r="114" spans="1:16" ht="30" x14ac:dyDescent="0.25">
      <c r="A114" s="3" t="s">
        <v>24</v>
      </c>
      <c r="B114" s="3" t="s">
        <v>122</v>
      </c>
      <c r="C114" s="3" t="s">
        <v>164</v>
      </c>
      <c r="D114" s="3" t="s">
        <v>64</v>
      </c>
      <c r="E114" s="20">
        <v>10</v>
      </c>
      <c r="F114" s="3" t="s">
        <v>147</v>
      </c>
      <c r="G114" s="4">
        <v>95000</v>
      </c>
      <c r="H114" s="4">
        <v>25000</v>
      </c>
      <c r="I114" s="4">
        <f t="shared" si="5"/>
        <v>950000</v>
      </c>
      <c r="J114" s="4">
        <f t="shared" si="6"/>
        <v>250000</v>
      </c>
      <c r="K114" s="4">
        <v>1960000</v>
      </c>
      <c r="L114" s="4">
        <f t="shared" si="7"/>
        <v>1200000</v>
      </c>
      <c r="M114" s="4">
        <f t="shared" si="8"/>
        <v>760000</v>
      </c>
      <c r="N114" s="3" t="s">
        <v>60</v>
      </c>
      <c r="O114" s="3" t="s">
        <v>148</v>
      </c>
      <c r="P114" s="4">
        <f t="shared" si="9"/>
        <v>0</v>
      </c>
    </row>
    <row r="115" spans="1:16" ht="30" x14ac:dyDescent="0.25">
      <c r="A115" s="3" t="s">
        <v>24</v>
      </c>
      <c r="B115" s="3" t="s">
        <v>122</v>
      </c>
      <c r="C115" s="3" t="s">
        <v>165</v>
      </c>
      <c r="D115" s="3" t="s">
        <v>64</v>
      </c>
      <c r="E115" s="20">
        <v>10</v>
      </c>
      <c r="F115" s="3" t="s">
        <v>147</v>
      </c>
      <c r="G115" s="4">
        <v>75000</v>
      </c>
      <c r="H115" s="4">
        <v>25000</v>
      </c>
      <c r="I115" s="4">
        <f t="shared" si="5"/>
        <v>750000</v>
      </c>
      <c r="J115" s="4">
        <f t="shared" si="6"/>
        <v>250000</v>
      </c>
      <c r="K115" s="4">
        <v>1610000</v>
      </c>
      <c r="L115" s="4">
        <f t="shared" si="7"/>
        <v>1000000</v>
      </c>
      <c r="M115" s="4">
        <f t="shared" si="8"/>
        <v>610000</v>
      </c>
      <c r="N115" s="3" t="s">
        <v>148</v>
      </c>
      <c r="O115" s="3" t="s">
        <v>148</v>
      </c>
      <c r="P115" s="4">
        <f t="shared" si="9"/>
        <v>0</v>
      </c>
    </row>
    <row r="116" spans="1:16" ht="30" x14ac:dyDescent="0.25">
      <c r="A116" s="3" t="s">
        <v>24</v>
      </c>
      <c r="B116" s="3" t="s">
        <v>122</v>
      </c>
      <c r="C116" s="3" t="s">
        <v>166</v>
      </c>
      <c r="D116" s="3" t="s">
        <v>78</v>
      </c>
      <c r="E116" s="20">
        <v>20</v>
      </c>
      <c r="F116" s="3" t="s">
        <v>147</v>
      </c>
      <c r="G116" s="4">
        <v>110000</v>
      </c>
      <c r="H116" s="4">
        <v>25000</v>
      </c>
      <c r="I116" s="4">
        <f t="shared" si="5"/>
        <v>2200000</v>
      </c>
      <c r="J116" s="4">
        <f t="shared" si="6"/>
        <v>500000</v>
      </c>
      <c r="K116" s="4">
        <v>6240000</v>
      </c>
      <c r="L116" s="4">
        <f t="shared" si="7"/>
        <v>2700000</v>
      </c>
      <c r="M116" s="4">
        <f t="shared" si="8"/>
        <v>3540000</v>
      </c>
      <c r="N116" s="3" t="s">
        <v>148</v>
      </c>
      <c r="O116" s="3" t="s">
        <v>148</v>
      </c>
      <c r="P116" s="4">
        <f t="shared" si="9"/>
        <v>0</v>
      </c>
    </row>
    <row r="117" spans="1:16" ht="30" x14ac:dyDescent="0.25">
      <c r="A117" s="3" t="s">
        <v>24</v>
      </c>
      <c r="B117" s="3" t="s">
        <v>122</v>
      </c>
      <c r="C117" s="3" t="s">
        <v>167</v>
      </c>
      <c r="D117" s="3" t="s">
        <v>72</v>
      </c>
      <c r="E117" s="20">
        <v>10</v>
      </c>
      <c r="F117" s="3" t="s">
        <v>147</v>
      </c>
      <c r="G117" s="4">
        <v>25000</v>
      </c>
      <c r="H117" s="4">
        <v>15000</v>
      </c>
      <c r="I117" s="4">
        <f t="shared" si="5"/>
        <v>250000</v>
      </c>
      <c r="J117" s="4">
        <f t="shared" si="6"/>
        <v>150000</v>
      </c>
      <c r="K117" s="4">
        <v>490000</v>
      </c>
      <c r="L117" s="4">
        <f t="shared" si="7"/>
        <v>400000</v>
      </c>
      <c r="M117" s="4">
        <f t="shared" si="8"/>
        <v>90000</v>
      </c>
      <c r="N117" s="3" t="s">
        <v>148</v>
      </c>
      <c r="O117" s="3" t="s">
        <v>148</v>
      </c>
      <c r="P117" s="4">
        <f t="shared" si="9"/>
        <v>0</v>
      </c>
    </row>
    <row r="118" spans="1:16" ht="30" x14ac:dyDescent="0.25">
      <c r="A118" s="3" t="s">
        <v>24</v>
      </c>
      <c r="B118" s="3" t="s">
        <v>122</v>
      </c>
      <c r="C118" s="3" t="s">
        <v>168</v>
      </c>
      <c r="D118" s="3" t="s">
        <v>64</v>
      </c>
      <c r="E118" s="20">
        <v>5</v>
      </c>
      <c r="F118" s="3" t="s">
        <v>147</v>
      </c>
      <c r="G118" s="4">
        <v>300000</v>
      </c>
      <c r="H118" s="4">
        <v>100000</v>
      </c>
      <c r="I118" s="4">
        <f t="shared" si="5"/>
        <v>1500000</v>
      </c>
      <c r="J118" s="4">
        <f t="shared" si="6"/>
        <v>500000</v>
      </c>
      <c r="K118" s="4">
        <v>2560000</v>
      </c>
      <c r="L118" s="4">
        <f t="shared" si="7"/>
        <v>2000000</v>
      </c>
      <c r="M118" s="4">
        <f t="shared" si="8"/>
        <v>560000</v>
      </c>
      <c r="N118" s="3" t="s">
        <v>148</v>
      </c>
      <c r="O118" s="3" t="s">
        <v>148</v>
      </c>
      <c r="P118" s="4">
        <f t="shared" si="9"/>
        <v>0</v>
      </c>
    </row>
    <row r="119" spans="1:16" ht="30" x14ac:dyDescent="0.25">
      <c r="A119" s="3" t="s">
        <v>24</v>
      </c>
      <c r="B119" s="3" t="s">
        <v>122</v>
      </c>
      <c r="C119" s="3" t="s">
        <v>169</v>
      </c>
      <c r="D119" s="3" t="s">
        <v>64</v>
      </c>
      <c r="E119" s="20">
        <v>2</v>
      </c>
      <c r="F119" s="3" t="s">
        <v>147</v>
      </c>
      <c r="G119" s="4">
        <v>300000</v>
      </c>
      <c r="H119" s="4">
        <v>100000</v>
      </c>
      <c r="I119" s="4">
        <f t="shared" si="5"/>
        <v>600000</v>
      </c>
      <c r="J119" s="4">
        <f t="shared" si="6"/>
        <v>200000</v>
      </c>
      <c r="K119" s="4">
        <v>1920000</v>
      </c>
      <c r="L119" s="4">
        <f t="shared" si="7"/>
        <v>800000</v>
      </c>
      <c r="M119" s="4">
        <f t="shared" si="8"/>
        <v>1120000</v>
      </c>
      <c r="N119" s="3" t="s">
        <v>148</v>
      </c>
      <c r="O119" s="3" t="s">
        <v>148</v>
      </c>
      <c r="P119" s="4">
        <f t="shared" si="9"/>
        <v>0</v>
      </c>
    </row>
    <row r="120" spans="1:16" ht="30" x14ac:dyDescent="0.25">
      <c r="A120" s="3" t="s">
        <v>24</v>
      </c>
      <c r="B120" s="3" t="s">
        <v>122</v>
      </c>
      <c r="C120" s="3" t="s">
        <v>170</v>
      </c>
      <c r="D120" s="3" t="s">
        <v>64</v>
      </c>
      <c r="E120" s="20">
        <v>2</v>
      </c>
      <c r="F120" s="3" t="s">
        <v>147</v>
      </c>
      <c r="G120" s="4">
        <v>500000</v>
      </c>
      <c r="H120" s="4">
        <v>100000</v>
      </c>
      <c r="I120" s="4">
        <f t="shared" si="5"/>
        <v>1000000</v>
      </c>
      <c r="J120" s="4">
        <f t="shared" si="6"/>
        <v>200000</v>
      </c>
      <c r="K120" s="4">
        <v>1744000</v>
      </c>
      <c r="L120" s="4">
        <f t="shared" si="7"/>
        <v>1200000</v>
      </c>
      <c r="M120" s="4">
        <f t="shared" si="8"/>
        <v>544000</v>
      </c>
      <c r="N120" s="3" t="s">
        <v>148</v>
      </c>
      <c r="O120" s="3" t="s">
        <v>148</v>
      </c>
      <c r="P120" s="4">
        <f t="shared" si="9"/>
        <v>0</v>
      </c>
    </row>
    <row r="121" spans="1:16" ht="30" x14ac:dyDescent="0.25">
      <c r="A121" s="3" t="s">
        <v>24</v>
      </c>
      <c r="B121" s="3" t="s">
        <v>122</v>
      </c>
      <c r="C121" s="3" t="s">
        <v>171</v>
      </c>
      <c r="D121" s="3" t="s">
        <v>64</v>
      </c>
      <c r="E121" s="20">
        <v>4</v>
      </c>
      <c r="F121" s="3" t="s">
        <v>147</v>
      </c>
      <c r="G121" s="4">
        <v>250000</v>
      </c>
      <c r="H121" s="4">
        <v>100000</v>
      </c>
      <c r="I121" s="4">
        <f t="shared" si="5"/>
        <v>1000000</v>
      </c>
      <c r="J121" s="4">
        <f t="shared" si="6"/>
        <v>400000</v>
      </c>
      <c r="K121" s="4">
        <v>1864000</v>
      </c>
      <c r="L121" s="4">
        <f t="shared" si="7"/>
        <v>1400000</v>
      </c>
      <c r="M121" s="4">
        <f t="shared" si="8"/>
        <v>464000</v>
      </c>
      <c r="N121" s="3" t="s">
        <v>148</v>
      </c>
      <c r="O121" s="3" t="s">
        <v>148</v>
      </c>
      <c r="P121" s="4">
        <f t="shared" si="9"/>
        <v>0</v>
      </c>
    </row>
    <row r="122" spans="1:16" ht="30" x14ac:dyDescent="0.25">
      <c r="A122" s="3" t="s">
        <v>24</v>
      </c>
      <c r="B122" s="3" t="s">
        <v>122</v>
      </c>
      <c r="C122" s="3" t="s">
        <v>172</v>
      </c>
      <c r="D122" s="3" t="s">
        <v>78</v>
      </c>
      <c r="E122" s="20">
        <v>2</v>
      </c>
      <c r="F122" s="3" t="s">
        <v>147</v>
      </c>
      <c r="G122" s="4">
        <v>300000</v>
      </c>
      <c r="H122" s="4">
        <v>100000</v>
      </c>
      <c r="I122" s="4">
        <f t="shared" si="5"/>
        <v>600000</v>
      </c>
      <c r="J122" s="4">
        <f t="shared" si="6"/>
        <v>200000</v>
      </c>
      <c r="K122" s="4">
        <v>1848000</v>
      </c>
      <c r="L122" s="4">
        <f t="shared" si="7"/>
        <v>800000</v>
      </c>
      <c r="M122" s="4">
        <f t="shared" si="8"/>
        <v>1048000</v>
      </c>
      <c r="N122" s="3" t="s">
        <v>148</v>
      </c>
      <c r="O122" s="3" t="s">
        <v>148</v>
      </c>
      <c r="P122" s="4">
        <f t="shared" si="9"/>
        <v>0</v>
      </c>
    </row>
    <row r="123" spans="1:16" ht="30" x14ac:dyDescent="0.25">
      <c r="A123" s="3" t="s">
        <v>24</v>
      </c>
      <c r="B123" s="3" t="s">
        <v>122</v>
      </c>
      <c r="C123" s="3" t="s">
        <v>173</v>
      </c>
      <c r="D123" s="3" t="s">
        <v>64</v>
      </c>
      <c r="E123" s="20">
        <v>2</v>
      </c>
      <c r="F123" s="3" t="s">
        <v>147</v>
      </c>
      <c r="G123" s="4">
        <v>450000</v>
      </c>
      <c r="H123" s="4">
        <v>100000</v>
      </c>
      <c r="I123" s="4">
        <f t="shared" si="5"/>
        <v>900000</v>
      </c>
      <c r="J123" s="4">
        <f t="shared" si="6"/>
        <v>200000</v>
      </c>
      <c r="K123" s="4">
        <v>1628000</v>
      </c>
      <c r="L123" s="4">
        <f t="shared" si="7"/>
        <v>1100000</v>
      </c>
      <c r="M123" s="4">
        <f t="shared" si="8"/>
        <v>528000</v>
      </c>
      <c r="N123" s="3" t="s">
        <v>148</v>
      </c>
      <c r="O123" s="3" t="s">
        <v>148</v>
      </c>
      <c r="P123" s="4">
        <f t="shared" si="9"/>
        <v>0</v>
      </c>
    </row>
    <row r="124" spans="1:16" ht="30" x14ac:dyDescent="0.25">
      <c r="A124" s="3" t="s">
        <v>24</v>
      </c>
      <c r="B124" s="3" t="s">
        <v>122</v>
      </c>
      <c r="C124" s="3" t="s">
        <v>79</v>
      </c>
      <c r="D124" s="3" t="s">
        <v>78</v>
      </c>
      <c r="E124" s="20">
        <v>1</v>
      </c>
      <c r="F124" s="3" t="s">
        <v>147</v>
      </c>
      <c r="G124" s="4">
        <v>2205000</v>
      </c>
      <c r="H124" s="4">
        <v>150000</v>
      </c>
      <c r="I124" s="4">
        <f t="shared" si="5"/>
        <v>2205000</v>
      </c>
      <c r="J124" s="4">
        <f t="shared" si="6"/>
        <v>150000</v>
      </c>
      <c r="K124" s="4">
        <v>4188000</v>
      </c>
      <c r="L124" s="4">
        <f t="shared" si="7"/>
        <v>2355000</v>
      </c>
      <c r="M124" s="4">
        <f t="shared" si="8"/>
        <v>1833000</v>
      </c>
      <c r="N124" s="3" t="s">
        <v>60</v>
      </c>
      <c r="O124" s="3" t="s">
        <v>148</v>
      </c>
      <c r="P124" s="4">
        <f t="shared" si="9"/>
        <v>0</v>
      </c>
    </row>
    <row r="125" spans="1:16" ht="30" x14ac:dyDescent="0.25">
      <c r="A125" s="3" t="s">
        <v>24</v>
      </c>
      <c r="B125" s="3" t="s">
        <v>122</v>
      </c>
      <c r="C125" s="3" t="s">
        <v>174</v>
      </c>
      <c r="D125" s="3" t="s">
        <v>64</v>
      </c>
      <c r="E125" s="20">
        <v>2</v>
      </c>
      <c r="F125" s="3" t="s">
        <v>147</v>
      </c>
      <c r="G125" s="4">
        <v>150000</v>
      </c>
      <c r="H125" s="4">
        <v>50000</v>
      </c>
      <c r="I125" s="4">
        <f t="shared" si="5"/>
        <v>300000</v>
      </c>
      <c r="J125" s="4">
        <f t="shared" si="6"/>
        <v>100000</v>
      </c>
      <c r="K125" s="4">
        <v>636000</v>
      </c>
      <c r="L125" s="4">
        <f t="shared" si="7"/>
        <v>400000</v>
      </c>
      <c r="M125" s="4">
        <f t="shared" si="8"/>
        <v>236000</v>
      </c>
      <c r="N125" s="3" t="s">
        <v>148</v>
      </c>
      <c r="O125" s="3" t="s">
        <v>148</v>
      </c>
      <c r="P125" s="4">
        <f t="shared" si="9"/>
        <v>0</v>
      </c>
    </row>
    <row r="126" spans="1:16" ht="30" x14ac:dyDescent="0.25">
      <c r="A126" s="3" t="s">
        <v>24</v>
      </c>
      <c r="B126" s="3" t="s">
        <v>122</v>
      </c>
      <c r="C126" s="3" t="s">
        <v>175</v>
      </c>
      <c r="D126" s="3" t="s">
        <v>176</v>
      </c>
      <c r="E126" s="20">
        <v>1</v>
      </c>
      <c r="F126" s="3" t="s">
        <v>147</v>
      </c>
      <c r="G126" s="4">
        <v>5500000</v>
      </c>
      <c r="H126" s="4">
        <v>500000</v>
      </c>
      <c r="I126" s="4">
        <f t="shared" si="5"/>
        <v>5500000</v>
      </c>
      <c r="J126" s="4">
        <f t="shared" si="6"/>
        <v>500000</v>
      </c>
      <c r="K126" s="4">
        <v>10527000</v>
      </c>
      <c r="L126" s="4">
        <f t="shared" si="7"/>
        <v>6000000</v>
      </c>
      <c r="M126" s="4">
        <f t="shared" si="8"/>
        <v>4527000</v>
      </c>
      <c r="N126" s="3" t="s">
        <v>148</v>
      </c>
      <c r="O126" s="3" t="s">
        <v>148</v>
      </c>
      <c r="P126" s="4">
        <f t="shared" si="9"/>
        <v>0</v>
      </c>
    </row>
    <row r="127" spans="1:16" ht="30" x14ac:dyDescent="0.25">
      <c r="A127" s="3" t="s">
        <v>24</v>
      </c>
      <c r="B127" s="3" t="s">
        <v>122</v>
      </c>
      <c r="C127" s="3" t="s">
        <v>177</v>
      </c>
      <c r="D127" s="3" t="s">
        <v>59</v>
      </c>
      <c r="E127" s="20">
        <v>1</v>
      </c>
      <c r="F127" s="3" t="s">
        <v>178</v>
      </c>
      <c r="G127" s="4">
        <v>15400000</v>
      </c>
      <c r="H127" s="4">
        <v>0</v>
      </c>
      <c r="I127" s="4">
        <f t="shared" si="5"/>
        <v>15400000</v>
      </c>
      <c r="J127" s="4">
        <f t="shared" si="6"/>
        <v>0</v>
      </c>
      <c r="K127" s="4">
        <v>28000000</v>
      </c>
      <c r="L127" s="4">
        <f t="shared" si="7"/>
        <v>15400000</v>
      </c>
      <c r="M127" s="4">
        <f t="shared" si="8"/>
        <v>12600000</v>
      </c>
      <c r="N127" s="3" t="s">
        <v>60</v>
      </c>
      <c r="O127" s="3"/>
      <c r="P127" s="4">
        <f t="shared" si="9"/>
        <v>0</v>
      </c>
    </row>
    <row r="128" spans="1:16" ht="30" x14ac:dyDescent="0.25">
      <c r="A128" s="3" t="s">
        <v>24</v>
      </c>
      <c r="B128" s="3" t="s">
        <v>122</v>
      </c>
      <c r="C128" s="3" t="s">
        <v>179</v>
      </c>
      <c r="D128" s="3" t="s">
        <v>59</v>
      </c>
      <c r="E128" s="20">
        <v>1</v>
      </c>
      <c r="F128" s="3" t="s">
        <v>147</v>
      </c>
      <c r="G128" s="4">
        <v>0</v>
      </c>
      <c r="H128" s="4">
        <v>3000000</v>
      </c>
      <c r="I128" s="4">
        <f t="shared" si="5"/>
        <v>0</v>
      </c>
      <c r="J128" s="4">
        <f t="shared" si="6"/>
        <v>3000000</v>
      </c>
      <c r="K128" s="4">
        <v>4736000</v>
      </c>
      <c r="L128" s="4">
        <f t="shared" si="7"/>
        <v>3000000</v>
      </c>
      <c r="M128" s="4">
        <f t="shared" si="8"/>
        <v>1736000</v>
      </c>
      <c r="N128" s="3"/>
      <c r="O128" s="3" t="s">
        <v>148</v>
      </c>
      <c r="P128" s="4">
        <f t="shared" si="9"/>
        <v>0</v>
      </c>
    </row>
    <row r="129" spans="1:16" ht="30" x14ac:dyDescent="0.25">
      <c r="A129" s="3" t="s">
        <v>24</v>
      </c>
      <c r="B129" s="3" t="s">
        <v>122</v>
      </c>
      <c r="C129" s="3" t="s">
        <v>180</v>
      </c>
      <c r="D129" s="3" t="s">
        <v>59</v>
      </c>
      <c r="E129" s="20">
        <v>1</v>
      </c>
      <c r="F129" s="3" t="s">
        <v>178</v>
      </c>
      <c r="G129" s="4">
        <v>27720000</v>
      </c>
      <c r="H129" s="4">
        <v>0</v>
      </c>
      <c r="I129" s="4">
        <f t="shared" si="5"/>
        <v>27720000</v>
      </c>
      <c r="J129" s="4">
        <f t="shared" si="6"/>
        <v>0</v>
      </c>
      <c r="K129" s="4">
        <v>45000000</v>
      </c>
      <c r="L129" s="4">
        <f t="shared" si="7"/>
        <v>27720000</v>
      </c>
      <c r="M129" s="4">
        <f t="shared" si="8"/>
        <v>17280000</v>
      </c>
      <c r="N129" s="3" t="s">
        <v>60</v>
      </c>
      <c r="O129" s="3"/>
      <c r="P129" s="4">
        <f t="shared" si="9"/>
        <v>0</v>
      </c>
    </row>
    <row r="130" spans="1:16" ht="30" x14ac:dyDescent="0.25">
      <c r="A130" s="3" t="s">
        <v>24</v>
      </c>
      <c r="B130" s="3" t="s">
        <v>122</v>
      </c>
      <c r="C130" s="3" t="s">
        <v>181</v>
      </c>
      <c r="D130" s="3" t="s">
        <v>59</v>
      </c>
      <c r="E130" s="20">
        <v>1</v>
      </c>
      <c r="F130" s="3" t="s">
        <v>147</v>
      </c>
      <c r="G130" s="4">
        <v>0</v>
      </c>
      <c r="H130" s="4">
        <v>3000000</v>
      </c>
      <c r="I130" s="4">
        <f t="shared" si="5"/>
        <v>0</v>
      </c>
      <c r="J130" s="4">
        <f t="shared" si="6"/>
        <v>3000000</v>
      </c>
      <c r="K130" s="4">
        <v>4736000</v>
      </c>
      <c r="L130" s="4">
        <f t="shared" si="7"/>
        <v>3000000</v>
      </c>
      <c r="M130" s="4">
        <f t="shared" si="8"/>
        <v>1736000</v>
      </c>
      <c r="N130" s="3"/>
      <c r="O130" s="3" t="s">
        <v>148</v>
      </c>
      <c r="P130" s="4">
        <f t="shared" si="9"/>
        <v>0</v>
      </c>
    </row>
    <row r="131" spans="1:16" ht="30" x14ac:dyDescent="0.25">
      <c r="A131" s="3" t="s">
        <v>24</v>
      </c>
      <c r="B131" s="3" t="s">
        <v>122</v>
      </c>
      <c r="C131" s="3" t="s">
        <v>182</v>
      </c>
      <c r="D131" s="3" t="s">
        <v>176</v>
      </c>
      <c r="E131" s="20">
        <v>6</v>
      </c>
      <c r="F131" s="3" t="s">
        <v>147</v>
      </c>
      <c r="G131" s="4">
        <v>368000</v>
      </c>
      <c r="H131" s="4">
        <v>400000</v>
      </c>
      <c r="I131" s="4">
        <f t="shared" si="5"/>
        <v>2208000</v>
      </c>
      <c r="J131" s="4">
        <f t="shared" si="6"/>
        <v>2400000</v>
      </c>
      <c r="K131" s="4">
        <v>6090000</v>
      </c>
      <c r="L131" s="4">
        <f t="shared" si="7"/>
        <v>4608000</v>
      </c>
      <c r="M131" s="4">
        <f t="shared" si="8"/>
        <v>1482000</v>
      </c>
      <c r="N131" s="3" t="s">
        <v>148</v>
      </c>
      <c r="O131" s="3" t="s">
        <v>148</v>
      </c>
      <c r="P131" s="4">
        <f t="shared" si="9"/>
        <v>0</v>
      </c>
    </row>
    <row r="132" spans="1:16" ht="30" x14ac:dyDescent="0.25">
      <c r="A132" s="3" t="s">
        <v>24</v>
      </c>
      <c r="B132" s="3" t="s">
        <v>122</v>
      </c>
      <c r="C132" s="3" t="s">
        <v>183</v>
      </c>
      <c r="D132" s="3" t="s">
        <v>184</v>
      </c>
      <c r="E132" s="20">
        <v>6</v>
      </c>
      <c r="F132" s="3" t="s">
        <v>147</v>
      </c>
      <c r="G132" s="4">
        <v>600000</v>
      </c>
      <c r="H132" s="21">
        <v>67692</v>
      </c>
      <c r="I132" s="4">
        <f t="shared" ref="I132:I195" si="10">E132*G132</f>
        <v>3600000</v>
      </c>
      <c r="J132" s="4">
        <f t="shared" ref="J132:J195" si="11">E132*H132</f>
        <v>406152</v>
      </c>
      <c r="K132" s="4">
        <v>4992000</v>
      </c>
      <c r="L132" s="4">
        <f t="shared" ref="L132:L195" si="12">I132+J132</f>
        <v>4006152</v>
      </c>
      <c r="M132" s="4">
        <f t="shared" ref="M132:M195" si="13">K132-L132</f>
        <v>985848</v>
      </c>
      <c r="N132" s="3" t="s">
        <v>148</v>
      </c>
      <c r="O132" s="22" t="s">
        <v>185</v>
      </c>
      <c r="P132" s="4">
        <f t="shared" ref="P132:P195" si="14">IF(LEFT(N132,3)="Tạm",I132,0)+IF(LEFT(O132,3)="Tạm",J132,0)</f>
        <v>406152</v>
      </c>
    </row>
    <row r="133" spans="1:16" ht="30" x14ac:dyDescent="0.25">
      <c r="A133" s="3" t="s">
        <v>24</v>
      </c>
      <c r="B133" s="3" t="s">
        <v>122</v>
      </c>
      <c r="C133" s="3" t="s">
        <v>186</v>
      </c>
      <c r="D133" s="3" t="s">
        <v>64</v>
      </c>
      <c r="E133" s="20">
        <v>6</v>
      </c>
      <c r="F133" s="3" t="s">
        <v>147</v>
      </c>
      <c r="G133" s="4">
        <v>166000</v>
      </c>
      <c r="H133" s="4">
        <v>100000</v>
      </c>
      <c r="I133" s="4">
        <f t="shared" si="10"/>
        <v>996000</v>
      </c>
      <c r="J133" s="4">
        <f t="shared" si="11"/>
        <v>600000</v>
      </c>
      <c r="K133" s="4">
        <v>3000000</v>
      </c>
      <c r="L133" s="4">
        <f t="shared" si="12"/>
        <v>1596000</v>
      </c>
      <c r="M133" s="4">
        <f t="shared" si="13"/>
        <v>1404000</v>
      </c>
      <c r="N133" s="3" t="s">
        <v>60</v>
      </c>
      <c r="O133" s="3" t="s">
        <v>148</v>
      </c>
      <c r="P133" s="4">
        <f t="shared" si="14"/>
        <v>0</v>
      </c>
    </row>
    <row r="134" spans="1:16" ht="30" x14ac:dyDescent="0.25">
      <c r="A134" s="3" t="s">
        <v>24</v>
      </c>
      <c r="B134" s="3" t="s">
        <v>122</v>
      </c>
      <c r="C134" s="3" t="s">
        <v>187</v>
      </c>
      <c r="D134" s="3" t="s">
        <v>78</v>
      </c>
      <c r="E134" s="20">
        <v>6</v>
      </c>
      <c r="F134" s="3" t="s">
        <v>178</v>
      </c>
      <c r="G134" s="4">
        <v>53000</v>
      </c>
      <c r="H134" s="4">
        <v>50000</v>
      </c>
      <c r="I134" s="4">
        <f t="shared" si="10"/>
        <v>318000</v>
      </c>
      <c r="J134" s="4">
        <f t="shared" si="11"/>
        <v>300000</v>
      </c>
      <c r="K134" s="4">
        <v>1362000</v>
      </c>
      <c r="L134" s="4">
        <f t="shared" si="12"/>
        <v>618000</v>
      </c>
      <c r="M134" s="4">
        <f t="shared" si="13"/>
        <v>744000</v>
      </c>
      <c r="N134" s="3" t="s">
        <v>60</v>
      </c>
      <c r="O134" s="3" t="s">
        <v>148</v>
      </c>
      <c r="P134" s="4">
        <f t="shared" si="14"/>
        <v>0</v>
      </c>
    </row>
    <row r="135" spans="1:16" x14ac:dyDescent="0.25">
      <c r="A135" s="3" t="s">
        <v>24</v>
      </c>
      <c r="B135" s="3" t="s">
        <v>122</v>
      </c>
      <c r="C135" s="3" t="s">
        <v>69</v>
      </c>
      <c r="D135" s="3" t="s">
        <v>64</v>
      </c>
      <c r="E135" s="20">
        <v>5</v>
      </c>
      <c r="F135" s="3" t="s">
        <v>178</v>
      </c>
      <c r="G135" s="4">
        <v>137000</v>
      </c>
      <c r="H135" s="21">
        <v>31538</v>
      </c>
      <c r="I135" s="4">
        <f t="shared" si="10"/>
        <v>685000</v>
      </c>
      <c r="J135" s="4">
        <f t="shared" si="11"/>
        <v>157690</v>
      </c>
      <c r="K135" s="4">
        <v>1305000</v>
      </c>
      <c r="L135" s="4">
        <f t="shared" si="12"/>
        <v>842690</v>
      </c>
      <c r="M135" s="4">
        <f t="shared" si="13"/>
        <v>462310</v>
      </c>
      <c r="N135" s="3" t="s">
        <v>60</v>
      </c>
      <c r="O135" s="22" t="s">
        <v>185</v>
      </c>
      <c r="P135" s="4">
        <f t="shared" si="14"/>
        <v>157690</v>
      </c>
    </row>
    <row r="136" spans="1:16" x14ac:dyDescent="0.25">
      <c r="A136" s="3" t="s">
        <v>24</v>
      </c>
      <c r="B136" s="3" t="s">
        <v>122</v>
      </c>
      <c r="C136" s="3" t="s">
        <v>188</v>
      </c>
      <c r="D136" s="3" t="s">
        <v>189</v>
      </c>
      <c r="E136" s="20">
        <v>10</v>
      </c>
      <c r="F136" s="3" t="s">
        <v>178</v>
      </c>
      <c r="G136" s="4">
        <v>652000</v>
      </c>
      <c r="H136" s="21">
        <v>10769</v>
      </c>
      <c r="I136" s="4">
        <f t="shared" si="10"/>
        <v>6520000</v>
      </c>
      <c r="J136" s="4">
        <f t="shared" si="11"/>
        <v>107690</v>
      </c>
      <c r="K136" s="4">
        <v>7580000</v>
      </c>
      <c r="L136" s="4">
        <f t="shared" si="12"/>
        <v>6627690</v>
      </c>
      <c r="M136" s="4">
        <f t="shared" si="13"/>
        <v>952310</v>
      </c>
      <c r="N136" s="3" t="s">
        <v>60</v>
      </c>
      <c r="O136" s="22" t="s">
        <v>185</v>
      </c>
      <c r="P136" s="4">
        <f t="shared" si="14"/>
        <v>107690</v>
      </c>
    </row>
    <row r="137" spans="1:16" ht="30" x14ac:dyDescent="0.25">
      <c r="A137" s="3" t="s">
        <v>24</v>
      </c>
      <c r="B137" s="3" t="s">
        <v>122</v>
      </c>
      <c r="C137" s="3" t="s">
        <v>208</v>
      </c>
      <c r="D137" s="3" t="s">
        <v>64</v>
      </c>
      <c r="E137" s="20">
        <v>1</v>
      </c>
      <c r="F137" s="3" t="s">
        <v>147</v>
      </c>
      <c r="G137" s="4">
        <v>190000</v>
      </c>
      <c r="H137" s="4">
        <v>100000</v>
      </c>
      <c r="I137" s="4">
        <f t="shared" si="10"/>
        <v>190000</v>
      </c>
      <c r="J137" s="4">
        <f t="shared" si="11"/>
        <v>100000</v>
      </c>
      <c r="K137" s="4">
        <v>480000</v>
      </c>
      <c r="L137" s="4">
        <f t="shared" si="12"/>
        <v>290000</v>
      </c>
      <c r="M137" s="4">
        <f t="shared" si="13"/>
        <v>190000</v>
      </c>
      <c r="N137" s="3" t="s">
        <v>148</v>
      </c>
      <c r="O137" s="3" t="s">
        <v>148</v>
      </c>
      <c r="P137" s="4">
        <f t="shared" si="14"/>
        <v>0</v>
      </c>
    </row>
    <row r="138" spans="1:16" ht="30" x14ac:dyDescent="0.25">
      <c r="A138" s="3" t="s">
        <v>24</v>
      </c>
      <c r="B138" s="3" t="s">
        <v>122</v>
      </c>
      <c r="C138" s="3" t="s">
        <v>190</v>
      </c>
      <c r="D138" s="3" t="s">
        <v>64</v>
      </c>
      <c r="E138" s="20">
        <v>1</v>
      </c>
      <c r="F138" s="3" t="s">
        <v>147</v>
      </c>
      <c r="G138" s="4">
        <v>285000</v>
      </c>
      <c r="H138" s="4">
        <v>100000</v>
      </c>
      <c r="I138" s="4">
        <f t="shared" si="10"/>
        <v>285000</v>
      </c>
      <c r="J138" s="4">
        <f t="shared" si="11"/>
        <v>100000</v>
      </c>
      <c r="K138" s="4">
        <v>581000</v>
      </c>
      <c r="L138" s="4">
        <f t="shared" si="12"/>
        <v>385000</v>
      </c>
      <c r="M138" s="4">
        <f t="shared" si="13"/>
        <v>196000</v>
      </c>
      <c r="N138" s="3" t="s">
        <v>60</v>
      </c>
      <c r="O138" s="3" t="s">
        <v>148</v>
      </c>
      <c r="P138" s="4">
        <f t="shared" si="14"/>
        <v>0</v>
      </c>
    </row>
    <row r="139" spans="1:16" ht="30" x14ac:dyDescent="0.25">
      <c r="A139" s="3" t="s">
        <v>24</v>
      </c>
      <c r="B139" s="3" t="s">
        <v>122</v>
      </c>
      <c r="C139" s="3" t="s">
        <v>193</v>
      </c>
      <c r="D139" s="3" t="s">
        <v>194</v>
      </c>
      <c r="E139" s="20">
        <v>100</v>
      </c>
      <c r="F139" s="3" t="s">
        <v>147</v>
      </c>
      <c r="G139" s="4">
        <v>330000</v>
      </c>
      <c r="H139" s="4">
        <v>10000</v>
      </c>
      <c r="I139" s="4">
        <f t="shared" si="10"/>
        <v>33000000</v>
      </c>
      <c r="J139" s="4">
        <f t="shared" si="11"/>
        <v>1000000</v>
      </c>
      <c r="K139" s="4">
        <v>39800000</v>
      </c>
      <c r="L139" s="4">
        <f t="shared" si="12"/>
        <v>34000000</v>
      </c>
      <c r="M139" s="4">
        <f t="shared" si="13"/>
        <v>5800000</v>
      </c>
      <c r="N139" s="3" t="s">
        <v>148</v>
      </c>
      <c r="O139" s="3" t="s">
        <v>148</v>
      </c>
      <c r="P139" s="4">
        <f t="shared" si="14"/>
        <v>0</v>
      </c>
    </row>
    <row r="140" spans="1:16" ht="30" x14ac:dyDescent="0.25">
      <c r="A140" s="3" t="s">
        <v>24</v>
      </c>
      <c r="B140" s="3" t="s">
        <v>122</v>
      </c>
      <c r="C140" s="3" t="s">
        <v>87</v>
      </c>
      <c r="D140" s="3" t="s">
        <v>194</v>
      </c>
      <c r="E140" s="20">
        <v>100</v>
      </c>
      <c r="F140" s="3" t="s">
        <v>147</v>
      </c>
      <c r="G140" s="4">
        <v>15000</v>
      </c>
      <c r="H140" s="4">
        <v>10000</v>
      </c>
      <c r="I140" s="4">
        <f t="shared" si="10"/>
        <v>1500000</v>
      </c>
      <c r="J140" s="4">
        <f t="shared" si="11"/>
        <v>1000000</v>
      </c>
      <c r="K140" s="4">
        <v>3500000</v>
      </c>
      <c r="L140" s="4">
        <f t="shared" si="12"/>
        <v>2500000</v>
      </c>
      <c r="M140" s="4">
        <f t="shared" si="13"/>
        <v>1000000</v>
      </c>
      <c r="N140" s="3" t="s">
        <v>148</v>
      </c>
      <c r="O140" s="3" t="s">
        <v>148</v>
      </c>
      <c r="P140" s="4">
        <f t="shared" si="14"/>
        <v>0</v>
      </c>
    </row>
    <row r="141" spans="1:16" ht="30" x14ac:dyDescent="0.25">
      <c r="A141" s="3" t="s">
        <v>24</v>
      </c>
      <c r="B141" s="3" t="s">
        <v>122</v>
      </c>
      <c r="C141" s="3" t="s">
        <v>62</v>
      </c>
      <c r="D141" s="3" t="s">
        <v>64</v>
      </c>
      <c r="E141" s="20">
        <v>3</v>
      </c>
      <c r="F141" s="3" t="s">
        <v>178</v>
      </c>
      <c r="G141" s="4">
        <v>442000</v>
      </c>
      <c r="H141" s="4">
        <v>50000</v>
      </c>
      <c r="I141" s="4">
        <f t="shared" si="10"/>
        <v>1326000</v>
      </c>
      <c r="J141" s="4">
        <f t="shared" si="11"/>
        <v>150000</v>
      </c>
      <c r="K141" s="4">
        <v>1593000</v>
      </c>
      <c r="L141" s="4">
        <f t="shared" si="12"/>
        <v>1476000</v>
      </c>
      <c r="M141" s="4">
        <f t="shared" si="13"/>
        <v>117000</v>
      </c>
      <c r="N141" s="3" t="s">
        <v>60</v>
      </c>
      <c r="O141" s="3" t="s">
        <v>148</v>
      </c>
      <c r="P141" s="4">
        <f t="shared" si="14"/>
        <v>0</v>
      </c>
    </row>
    <row r="142" spans="1:16" ht="30" x14ac:dyDescent="0.25">
      <c r="A142" s="3" t="s">
        <v>24</v>
      </c>
      <c r="B142" s="3" t="s">
        <v>122</v>
      </c>
      <c r="C142" s="3" t="s">
        <v>191</v>
      </c>
      <c r="D142" s="3" t="s">
        <v>159</v>
      </c>
      <c r="E142" s="20">
        <v>1</v>
      </c>
      <c r="F142" s="3" t="s">
        <v>158</v>
      </c>
      <c r="G142" s="4">
        <v>6421900</v>
      </c>
      <c r="H142" s="4">
        <v>1389827</v>
      </c>
      <c r="I142" s="4">
        <f t="shared" si="10"/>
        <v>6421900</v>
      </c>
      <c r="J142" s="4">
        <f t="shared" si="11"/>
        <v>1389827</v>
      </c>
      <c r="K142" s="4">
        <v>11564550</v>
      </c>
      <c r="L142" s="4">
        <f t="shared" si="12"/>
        <v>7811727</v>
      </c>
      <c r="M142" s="4">
        <f t="shared" si="13"/>
        <v>3752823</v>
      </c>
      <c r="N142" s="3" t="s">
        <v>209</v>
      </c>
      <c r="O142" s="3" t="s">
        <v>209</v>
      </c>
      <c r="P142" s="4">
        <f t="shared" si="14"/>
        <v>0</v>
      </c>
    </row>
    <row r="143" spans="1:16" ht="30" x14ac:dyDescent="0.25">
      <c r="A143" s="3" t="s">
        <v>24</v>
      </c>
      <c r="B143" s="3" t="s">
        <v>122</v>
      </c>
      <c r="C143" s="3" t="s">
        <v>201</v>
      </c>
      <c r="D143" s="3" t="s">
        <v>202</v>
      </c>
      <c r="E143" s="20">
        <v>29.333333333333329</v>
      </c>
      <c r="F143" s="3" t="s">
        <v>197</v>
      </c>
      <c r="G143" s="4">
        <v>0</v>
      </c>
      <c r="H143" s="4">
        <v>20000</v>
      </c>
      <c r="I143" s="4">
        <f t="shared" si="10"/>
        <v>0</v>
      </c>
      <c r="J143" s="4">
        <f t="shared" si="11"/>
        <v>586666.66666666663</v>
      </c>
      <c r="K143" s="4">
        <v>909333</v>
      </c>
      <c r="L143" s="4">
        <f t="shared" si="12"/>
        <v>586666.66666666663</v>
      </c>
      <c r="M143" s="4">
        <f t="shared" si="13"/>
        <v>322666.33333333337</v>
      </c>
      <c r="N143" s="3" t="s">
        <v>203</v>
      </c>
      <c r="O143" s="3" t="s">
        <v>148</v>
      </c>
      <c r="P143" s="4">
        <f t="shared" si="14"/>
        <v>0</v>
      </c>
    </row>
    <row r="144" spans="1:16" ht="30" x14ac:dyDescent="0.25">
      <c r="A144" s="3" t="s">
        <v>24</v>
      </c>
      <c r="B144" s="3" t="s">
        <v>122</v>
      </c>
      <c r="C144" s="3" t="s">
        <v>204</v>
      </c>
      <c r="D144" s="3" t="s">
        <v>202</v>
      </c>
      <c r="E144" s="20">
        <v>29.333333333333329</v>
      </c>
      <c r="F144" s="3" t="s">
        <v>197</v>
      </c>
      <c r="G144" s="4">
        <v>0</v>
      </c>
      <c r="H144" s="4">
        <v>20000</v>
      </c>
      <c r="I144" s="4">
        <f t="shared" si="10"/>
        <v>0</v>
      </c>
      <c r="J144" s="4">
        <f t="shared" si="11"/>
        <v>586666.66666666663</v>
      </c>
      <c r="K144" s="4">
        <v>1026667</v>
      </c>
      <c r="L144" s="4">
        <f t="shared" si="12"/>
        <v>586666.66666666663</v>
      </c>
      <c r="M144" s="4">
        <f t="shared" si="13"/>
        <v>440000.33333333337</v>
      </c>
      <c r="N144" s="3" t="s">
        <v>203</v>
      </c>
      <c r="O144" s="3" t="s">
        <v>148</v>
      </c>
      <c r="P144" s="4">
        <f t="shared" si="14"/>
        <v>0</v>
      </c>
    </row>
    <row r="145" spans="1:16" ht="30" x14ac:dyDescent="0.25">
      <c r="A145" s="3" t="s">
        <v>24</v>
      </c>
      <c r="B145" s="3" t="s">
        <v>122</v>
      </c>
      <c r="C145" s="3" t="s">
        <v>195</v>
      </c>
      <c r="D145" s="3" t="s">
        <v>196</v>
      </c>
      <c r="E145" s="20">
        <v>1</v>
      </c>
      <c r="F145" s="3" t="s">
        <v>197</v>
      </c>
      <c r="G145" s="4">
        <v>4500000</v>
      </c>
      <c r="H145" s="4">
        <v>40000000</v>
      </c>
      <c r="I145" s="4">
        <f t="shared" si="10"/>
        <v>4500000</v>
      </c>
      <c r="J145" s="4">
        <f t="shared" si="11"/>
        <v>40000000</v>
      </c>
      <c r="K145" s="4">
        <v>49500000</v>
      </c>
      <c r="L145" s="4">
        <f t="shared" si="12"/>
        <v>44500000</v>
      </c>
      <c r="M145" s="4">
        <f t="shared" si="13"/>
        <v>5000000</v>
      </c>
      <c r="N145" s="3" t="s">
        <v>148</v>
      </c>
      <c r="O145" s="3" t="s">
        <v>148</v>
      </c>
      <c r="P145" s="4">
        <f t="shared" si="14"/>
        <v>0</v>
      </c>
    </row>
    <row r="146" spans="1:16" ht="30" x14ac:dyDescent="0.25">
      <c r="A146" s="3" t="s">
        <v>24</v>
      </c>
      <c r="B146" s="3" t="s">
        <v>122</v>
      </c>
      <c r="C146" s="3" t="s">
        <v>198</v>
      </c>
      <c r="D146" s="3" t="s">
        <v>196</v>
      </c>
      <c r="E146" s="20">
        <v>1</v>
      </c>
      <c r="F146" s="3" t="s">
        <v>197</v>
      </c>
      <c r="G146" s="4">
        <v>1000000</v>
      </c>
      <c r="H146" s="4">
        <v>10000000</v>
      </c>
      <c r="I146" s="4">
        <f t="shared" si="10"/>
        <v>1000000</v>
      </c>
      <c r="J146" s="4">
        <f t="shared" si="11"/>
        <v>10000000</v>
      </c>
      <c r="K146" s="4">
        <v>8500000</v>
      </c>
      <c r="L146" s="4">
        <f t="shared" si="12"/>
        <v>11000000</v>
      </c>
      <c r="M146" s="4">
        <f t="shared" si="13"/>
        <v>-2500000</v>
      </c>
      <c r="N146" s="3" t="s">
        <v>148</v>
      </c>
      <c r="O146" s="3" t="s">
        <v>148</v>
      </c>
      <c r="P146" s="4">
        <f t="shared" si="14"/>
        <v>0</v>
      </c>
    </row>
    <row r="147" spans="1:16" ht="30" x14ac:dyDescent="0.25">
      <c r="A147" s="3" t="s">
        <v>125</v>
      </c>
      <c r="B147" s="3" t="s">
        <v>126</v>
      </c>
      <c r="C147" s="3" t="s">
        <v>161</v>
      </c>
      <c r="D147" s="3" t="s">
        <v>64</v>
      </c>
      <c r="E147" s="20">
        <v>1</v>
      </c>
      <c r="F147" s="3" t="s">
        <v>147</v>
      </c>
      <c r="G147" s="4">
        <v>1260000</v>
      </c>
      <c r="H147" s="4">
        <v>500000</v>
      </c>
      <c r="I147" s="4">
        <f t="shared" si="10"/>
        <v>1260000</v>
      </c>
      <c r="J147" s="4">
        <f t="shared" si="11"/>
        <v>500000</v>
      </c>
      <c r="K147" s="4">
        <v>3500000</v>
      </c>
      <c r="L147" s="4">
        <f t="shared" si="12"/>
        <v>1760000</v>
      </c>
      <c r="M147" s="4">
        <f t="shared" si="13"/>
        <v>1740000</v>
      </c>
      <c r="N147" s="3" t="s">
        <v>60</v>
      </c>
      <c r="O147" s="3" t="s">
        <v>148</v>
      </c>
      <c r="P147" s="4">
        <f t="shared" si="14"/>
        <v>0</v>
      </c>
    </row>
    <row r="148" spans="1:16" ht="30" x14ac:dyDescent="0.25">
      <c r="A148" s="3" t="s">
        <v>125</v>
      </c>
      <c r="B148" s="3" t="s">
        <v>126</v>
      </c>
      <c r="C148" s="3" t="s">
        <v>75</v>
      </c>
      <c r="D148" s="3" t="s">
        <v>72</v>
      </c>
      <c r="E148" s="20">
        <v>150</v>
      </c>
      <c r="F148" s="3" t="s">
        <v>147</v>
      </c>
      <c r="G148" s="4">
        <v>140000</v>
      </c>
      <c r="H148" s="4">
        <v>100000</v>
      </c>
      <c r="I148" s="4">
        <f t="shared" si="10"/>
        <v>21000000</v>
      </c>
      <c r="J148" s="4">
        <f t="shared" si="11"/>
        <v>15000000</v>
      </c>
      <c r="K148" s="4">
        <v>52950000</v>
      </c>
      <c r="L148" s="4">
        <f t="shared" si="12"/>
        <v>36000000</v>
      </c>
      <c r="M148" s="4">
        <f t="shared" si="13"/>
        <v>16950000</v>
      </c>
      <c r="N148" s="3" t="s">
        <v>148</v>
      </c>
      <c r="O148" s="3" t="s">
        <v>148</v>
      </c>
      <c r="P148" s="4">
        <f t="shared" si="14"/>
        <v>0</v>
      </c>
    </row>
    <row r="149" spans="1:16" ht="30" x14ac:dyDescent="0.25">
      <c r="A149" s="3" t="s">
        <v>125</v>
      </c>
      <c r="B149" s="3" t="s">
        <v>126</v>
      </c>
      <c r="C149" s="3" t="s">
        <v>74</v>
      </c>
      <c r="D149" s="3" t="s">
        <v>72</v>
      </c>
      <c r="E149" s="20">
        <v>140</v>
      </c>
      <c r="F149" s="3" t="s">
        <v>147</v>
      </c>
      <c r="G149" s="4">
        <v>120000</v>
      </c>
      <c r="H149" s="4">
        <v>100000</v>
      </c>
      <c r="I149" s="4">
        <f t="shared" si="10"/>
        <v>16800000</v>
      </c>
      <c r="J149" s="4">
        <f t="shared" si="11"/>
        <v>14000000</v>
      </c>
      <c r="K149" s="4">
        <v>39340000</v>
      </c>
      <c r="L149" s="4">
        <f t="shared" si="12"/>
        <v>30800000</v>
      </c>
      <c r="M149" s="4">
        <f t="shared" si="13"/>
        <v>8540000</v>
      </c>
      <c r="N149" s="3" t="s">
        <v>148</v>
      </c>
      <c r="O149" s="3" t="s">
        <v>148</v>
      </c>
      <c r="P149" s="4">
        <f t="shared" si="14"/>
        <v>0</v>
      </c>
    </row>
    <row r="150" spans="1:16" ht="30" x14ac:dyDescent="0.25">
      <c r="A150" s="3" t="s">
        <v>125</v>
      </c>
      <c r="B150" s="3" t="s">
        <v>126</v>
      </c>
      <c r="C150" s="3" t="s">
        <v>162</v>
      </c>
      <c r="D150" s="3" t="s">
        <v>64</v>
      </c>
      <c r="E150" s="20">
        <v>10</v>
      </c>
      <c r="F150" s="3" t="s">
        <v>147</v>
      </c>
      <c r="G150" s="4">
        <v>53000</v>
      </c>
      <c r="H150" s="4">
        <v>25000</v>
      </c>
      <c r="I150" s="4">
        <f t="shared" si="10"/>
        <v>530000</v>
      </c>
      <c r="J150" s="4">
        <f t="shared" si="11"/>
        <v>250000</v>
      </c>
      <c r="K150" s="4">
        <v>1254000</v>
      </c>
      <c r="L150" s="4">
        <f t="shared" si="12"/>
        <v>780000</v>
      </c>
      <c r="M150" s="4">
        <f t="shared" si="13"/>
        <v>474000</v>
      </c>
      <c r="N150" s="3" t="s">
        <v>60</v>
      </c>
      <c r="O150" s="3" t="s">
        <v>148</v>
      </c>
      <c r="P150" s="4">
        <f t="shared" si="14"/>
        <v>0</v>
      </c>
    </row>
    <row r="151" spans="1:16" ht="30" x14ac:dyDescent="0.25">
      <c r="A151" s="3" t="s">
        <v>125</v>
      </c>
      <c r="B151" s="3" t="s">
        <v>126</v>
      </c>
      <c r="C151" s="3" t="s">
        <v>163</v>
      </c>
      <c r="D151" s="3" t="s">
        <v>64</v>
      </c>
      <c r="E151" s="20">
        <v>35</v>
      </c>
      <c r="F151" s="3" t="s">
        <v>147</v>
      </c>
      <c r="G151" s="4">
        <v>42000</v>
      </c>
      <c r="H151" s="4">
        <v>25000</v>
      </c>
      <c r="I151" s="4">
        <f t="shared" si="10"/>
        <v>1470000</v>
      </c>
      <c r="J151" s="4">
        <f t="shared" si="11"/>
        <v>875000</v>
      </c>
      <c r="K151" s="4">
        <v>3080000</v>
      </c>
      <c r="L151" s="4">
        <f t="shared" si="12"/>
        <v>2345000</v>
      </c>
      <c r="M151" s="4">
        <f t="shared" si="13"/>
        <v>735000</v>
      </c>
      <c r="N151" s="3" t="s">
        <v>60</v>
      </c>
      <c r="O151" s="3" t="s">
        <v>148</v>
      </c>
      <c r="P151" s="4">
        <f t="shared" si="14"/>
        <v>0</v>
      </c>
    </row>
    <row r="152" spans="1:16" ht="30" x14ac:dyDescent="0.25">
      <c r="A152" s="3" t="s">
        <v>125</v>
      </c>
      <c r="B152" s="3" t="s">
        <v>126</v>
      </c>
      <c r="C152" s="3" t="s">
        <v>164</v>
      </c>
      <c r="D152" s="3" t="s">
        <v>64</v>
      </c>
      <c r="E152" s="20">
        <v>5</v>
      </c>
      <c r="F152" s="3" t="s">
        <v>147</v>
      </c>
      <c r="G152" s="4">
        <v>95000</v>
      </c>
      <c r="H152" s="4">
        <v>25000</v>
      </c>
      <c r="I152" s="4">
        <f t="shared" si="10"/>
        <v>475000</v>
      </c>
      <c r="J152" s="4">
        <f t="shared" si="11"/>
        <v>125000</v>
      </c>
      <c r="K152" s="4">
        <v>980000</v>
      </c>
      <c r="L152" s="4">
        <f t="shared" si="12"/>
        <v>600000</v>
      </c>
      <c r="M152" s="4">
        <f t="shared" si="13"/>
        <v>380000</v>
      </c>
      <c r="N152" s="3" t="s">
        <v>60</v>
      </c>
      <c r="O152" s="3" t="s">
        <v>148</v>
      </c>
      <c r="P152" s="4">
        <f t="shared" si="14"/>
        <v>0</v>
      </c>
    </row>
    <row r="153" spans="1:16" ht="30" x14ac:dyDescent="0.25">
      <c r="A153" s="3" t="s">
        <v>125</v>
      </c>
      <c r="B153" s="3" t="s">
        <v>126</v>
      </c>
      <c r="C153" s="3" t="s">
        <v>165</v>
      </c>
      <c r="D153" s="3" t="s">
        <v>64</v>
      </c>
      <c r="E153" s="20">
        <v>10</v>
      </c>
      <c r="F153" s="3" t="s">
        <v>147</v>
      </c>
      <c r="G153" s="4">
        <v>75000</v>
      </c>
      <c r="H153" s="4">
        <v>25000</v>
      </c>
      <c r="I153" s="4">
        <f t="shared" si="10"/>
        <v>750000</v>
      </c>
      <c r="J153" s="4">
        <f t="shared" si="11"/>
        <v>250000</v>
      </c>
      <c r="K153" s="4">
        <v>1610000</v>
      </c>
      <c r="L153" s="4">
        <f t="shared" si="12"/>
        <v>1000000</v>
      </c>
      <c r="M153" s="4">
        <f t="shared" si="13"/>
        <v>610000</v>
      </c>
      <c r="N153" s="3" t="s">
        <v>60</v>
      </c>
      <c r="O153" s="3" t="s">
        <v>148</v>
      </c>
      <c r="P153" s="4">
        <f t="shared" si="14"/>
        <v>0</v>
      </c>
    </row>
    <row r="154" spans="1:16" ht="30" x14ac:dyDescent="0.25">
      <c r="A154" s="3" t="s">
        <v>125</v>
      </c>
      <c r="B154" s="3" t="s">
        <v>126</v>
      </c>
      <c r="C154" s="3" t="s">
        <v>210</v>
      </c>
      <c r="D154" s="3" t="s">
        <v>64</v>
      </c>
      <c r="E154" s="20">
        <v>1</v>
      </c>
      <c r="F154" s="3" t="s">
        <v>147</v>
      </c>
      <c r="G154" s="4">
        <v>245000</v>
      </c>
      <c r="H154" s="4">
        <v>50000</v>
      </c>
      <c r="I154" s="4">
        <f t="shared" si="10"/>
        <v>245000</v>
      </c>
      <c r="J154" s="4">
        <f t="shared" si="11"/>
        <v>50000</v>
      </c>
      <c r="K154" s="4">
        <v>280000</v>
      </c>
      <c r="L154" s="4">
        <f t="shared" si="12"/>
        <v>295000</v>
      </c>
      <c r="M154" s="4">
        <f t="shared" si="13"/>
        <v>-15000</v>
      </c>
      <c r="N154" s="3" t="s">
        <v>60</v>
      </c>
      <c r="O154" s="3" t="s">
        <v>148</v>
      </c>
      <c r="P154" s="4">
        <f t="shared" si="14"/>
        <v>0</v>
      </c>
    </row>
    <row r="155" spans="1:16" ht="30" x14ac:dyDescent="0.25">
      <c r="A155" s="3" t="s">
        <v>125</v>
      </c>
      <c r="B155" s="3" t="s">
        <v>126</v>
      </c>
      <c r="C155" s="3" t="s">
        <v>211</v>
      </c>
      <c r="D155" s="3" t="s">
        <v>64</v>
      </c>
      <c r="E155" s="20">
        <v>5</v>
      </c>
      <c r="F155" s="3" t="s">
        <v>147</v>
      </c>
      <c r="G155" s="4">
        <v>190000</v>
      </c>
      <c r="H155" s="4">
        <v>50000</v>
      </c>
      <c r="I155" s="4">
        <f t="shared" si="10"/>
        <v>950000</v>
      </c>
      <c r="J155" s="4">
        <f t="shared" si="11"/>
        <v>250000</v>
      </c>
      <c r="K155" s="4">
        <v>1125000</v>
      </c>
      <c r="L155" s="4">
        <f t="shared" si="12"/>
        <v>1200000</v>
      </c>
      <c r="M155" s="4">
        <f t="shared" si="13"/>
        <v>-75000</v>
      </c>
      <c r="N155" s="3" t="s">
        <v>60</v>
      </c>
      <c r="O155" s="3" t="s">
        <v>148</v>
      </c>
      <c r="P155" s="4">
        <f t="shared" si="14"/>
        <v>0</v>
      </c>
    </row>
    <row r="156" spans="1:16" ht="30" x14ac:dyDescent="0.25">
      <c r="A156" s="3" t="s">
        <v>125</v>
      </c>
      <c r="B156" s="3" t="s">
        <v>126</v>
      </c>
      <c r="C156" s="3" t="s">
        <v>212</v>
      </c>
      <c r="D156" s="3" t="s">
        <v>64</v>
      </c>
      <c r="E156" s="20">
        <v>1</v>
      </c>
      <c r="F156" s="3" t="s">
        <v>147</v>
      </c>
      <c r="G156" s="4">
        <v>231000</v>
      </c>
      <c r="H156" s="4">
        <v>50000</v>
      </c>
      <c r="I156" s="4">
        <f t="shared" si="10"/>
        <v>231000</v>
      </c>
      <c r="J156" s="4">
        <f t="shared" si="11"/>
        <v>50000</v>
      </c>
      <c r="K156" s="4">
        <v>170000</v>
      </c>
      <c r="L156" s="4">
        <f t="shared" si="12"/>
        <v>281000</v>
      </c>
      <c r="M156" s="4">
        <f t="shared" si="13"/>
        <v>-111000</v>
      </c>
      <c r="N156" s="3" t="s">
        <v>60</v>
      </c>
      <c r="O156" s="3" t="s">
        <v>148</v>
      </c>
      <c r="P156" s="4">
        <f t="shared" si="14"/>
        <v>0</v>
      </c>
    </row>
    <row r="157" spans="1:16" ht="30" x14ac:dyDescent="0.25">
      <c r="A157" s="3" t="s">
        <v>125</v>
      </c>
      <c r="B157" s="3" t="s">
        <v>126</v>
      </c>
      <c r="C157" s="3" t="s">
        <v>213</v>
      </c>
      <c r="D157" s="3" t="s">
        <v>64</v>
      </c>
      <c r="E157" s="20">
        <v>1</v>
      </c>
      <c r="F157" s="3" t="s">
        <v>147</v>
      </c>
      <c r="G157" s="4">
        <v>95000</v>
      </c>
      <c r="H157" s="4">
        <v>50000</v>
      </c>
      <c r="I157" s="4">
        <f t="shared" si="10"/>
        <v>95000</v>
      </c>
      <c r="J157" s="4">
        <f t="shared" si="11"/>
        <v>50000</v>
      </c>
      <c r="K157" s="4">
        <v>165000</v>
      </c>
      <c r="L157" s="4">
        <f t="shared" si="12"/>
        <v>145000</v>
      </c>
      <c r="M157" s="4">
        <f t="shared" si="13"/>
        <v>20000</v>
      </c>
      <c r="N157" s="3" t="s">
        <v>60</v>
      </c>
      <c r="O157" s="3" t="s">
        <v>148</v>
      </c>
      <c r="P157" s="4">
        <f t="shared" si="14"/>
        <v>0</v>
      </c>
    </row>
    <row r="158" spans="1:16" ht="30" x14ac:dyDescent="0.25">
      <c r="A158" s="3" t="s">
        <v>125</v>
      </c>
      <c r="B158" s="3" t="s">
        <v>126</v>
      </c>
      <c r="C158" s="3" t="s">
        <v>214</v>
      </c>
      <c r="D158" s="3" t="s">
        <v>64</v>
      </c>
      <c r="E158" s="20">
        <v>1</v>
      </c>
      <c r="F158" s="3" t="s">
        <v>147</v>
      </c>
      <c r="G158" s="4">
        <v>17000</v>
      </c>
      <c r="H158" s="21">
        <v>11538</v>
      </c>
      <c r="I158" s="4">
        <f t="shared" si="10"/>
        <v>17000</v>
      </c>
      <c r="J158" s="4">
        <f t="shared" si="11"/>
        <v>11538</v>
      </c>
      <c r="K158" s="4">
        <v>38000</v>
      </c>
      <c r="L158" s="4">
        <f t="shared" si="12"/>
        <v>28538</v>
      </c>
      <c r="M158" s="4">
        <f t="shared" si="13"/>
        <v>9462</v>
      </c>
      <c r="N158" s="3" t="s">
        <v>60</v>
      </c>
      <c r="O158" s="22" t="s">
        <v>185</v>
      </c>
      <c r="P158" s="4">
        <f t="shared" si="14"/>
        <v>11538</v>
      </c>
    </row>
    <row r="159" spans="1:16" ht="30" x14ac:dyDescent="0.25">
      <c r="A159" s="3" t="s">
        <v>125</v>
      </c>
      <c r="B159" s="3" t="s">
        <v>126</v>
      </c>
      <c r="C159" s="3" t="s">
        <v>215</v>
      </c>
      <c r="D159" s="3" t="s">
        <v>72</v>
      </c>
      <c r="E159" s="20">
        <v>1</v>
      </c>
      <c r="F159" s="3" t="s">
        <v>147</v>
      </c>
      <c r="G159" s="4">
        <v>180000</v>
      </c>
      <c r="H159" s="4">
        <v>100000</v>
      </c>
      <c r="I159" s="4">
        <f t="shared" si="10"/>
        <v>180000</v>
      </c>
      <c r="J159" s="4">
        <f t="shared" si="11"/>
        <v>100000</v>
      </c>
      <c r="K159" s="4">
        <v>423000</v>
      </c>
      <c r="L159" s="4">
        <f t="shared" si="12"/>
        <v>280000</v>
      </c>
      <c r="M159" s="4">
        <f t="shared" si="13"/>
        <v>143000</v>
      </c>
      <c r="N159" s="3" t="s">
        <v>148</v>
      </c>
      <c r="O159" s="3" t="s">
        <v>148</v>
      </c>
      <c r="P159" s="4">
        <f t="shared" si="14"/>
        <v>0</v>
      </c>
    </row>
    <row r="160" spans="1:16" ht="30" x14ac:dyDescent="0.25">
      <c r="A160" s="3" t="s">
        <v>125</v>
      </c>
      <c r="B160" s="3" t="s">
        <v>126</v>
      </c>
      <c r="C160" s="3" t="s">
        <v>216</v>
      </c>
      <c r="D160" s="3" t="s">
        <v>64</v>
      </c>
      <c r="E160" s="20">
        <v>1</v>
      </c>
      <c r="F160" s="3" t="s">
        <v>147</v>
      </c>
      <c r="G160" s="4">
        <v>200000</v>
      </c>
      <c r="H160" s="4">
        <v>100000</v>
      </c>
      <c r="I160" s="4">
        <f t="shared" si="10"/>
        <v>200000</v>
      </c>
      <c r="J160" s="4">
        <f t="shared" si="11"/>
        <v>100000</v>
      </c>
      <c r="K160" s="4">
        <v>1077000</v>
      </c>
      <c r="L160" s="4">
        <f t="shared" si="12"/>
        <v>300000</v>
      </c>
      <c r="M160" s="4">
        <f t="shared" si="13"/>
        <v>777000</v>
      </c>
      <c r="N160" s="3" t="s">
        <v>60</v>
      </c>
      <c r="O160" s="3" t="s">
        <v>148</v>
      </c>
      <c r="P160" s="4">
        <f t="shared" si="14"/>
        <v>0</v>
      </c>
    </row>
    <row r="161" spans="1:16" ht="30" x14ac:dyDescent="0.25">
      <c r="A161" s="3" t="s">
        <v>125</v>
      </c>
      <c r="B161" s="3" t="s">
        <v>126</v>
      </c>
      <c r="C161" s="3" t="s">
        <v>79</v>
      </c>
      <c r="D161" s="3" t="s">
        <v>78</v>
      </c>
      <c r="E161" s="20">
        <v>1</v>
      </c>
      <c r="F161" s="3" t="s">
        <v>147</v>
      </c>
      <c r="G161" s="4">
        <v>2205000</v>
      </c>
      <c r="H161" s="4">
        <v>150000</v>
      </c>
      <c r="I161" s="4">
        <f t="shared" si="10"/>
        <v>2205000</v>
      </c>
      <c r="J161" s="4">
        <f t="shared" si="11"/>
        <v>150000</v>
      </c>
      <c r="K161" s="4">
        <v>4188000</v>
      </c>
      <c r="L161" s="4">
        <f t="shared" si="12"/>
        <v>2355000</v>
      </c>
      <c r="M161" s="4">
        <f t="shared" si="13"/>
        <v>1833000</v>
      </c>
      <c r="N161" s="3" t="s">
        <v>60</v>
      </c>
      <c r="O161" s="3" t="s">
        <v>148</v>
      </c>
      <c r="P161" s="4">
        <f t="shared" si="14"/>
        <v>0</v>
      </c>
    </row>
    <row r="162" spans="1:16" ht="30" x14ac:dyDescent="0.25">
      <c r="A162" s="3" t="s">
        <v>125</v>
      </c>
      <c r="B162" s="3" t="s">
        <v>126</v>
      </c>
      <c r="C162" s="3" t="s">
        <v>182</v>
      </c>
      <c r="D162" s="3" t="s">
        <v>176</v>
      </c>
      <c r="E162" s="20">
        <v>14</v>
      </c>
      <c r="F162" s="3" t="s">
        <v>147</v>
      </c>
      <c r="G162" s="4">
        <v>368000</v>
      </c>
      <c r="H162" s="4">
        <v>400000</v>
      </c>
      <c r="I162" s="4">
        <f t="shared" si="10"/>
        <v>5152000</v>
      </c>
      <c r="J162" s="4">
        <f t="shared" si="11"/>
        <v>5600000</v>
      </c>
      <c r="K162" s="4">
        <v>14210000</v>
      </c>
      <c r="L162" s="4">
        <f t="shared" si="12"/>
        <v>10752000</v>
      </c>
      <c r="M162" s="4">
        <f t="shared" si="13"/>
        <v>3458000</v>
      </c>
      <c r="N162" s="3" t="s">
        <v>60</v>
      </c>
      <c r="O162" s="3" t="s">
        <v>148</v>
      </c>
      <c r="P162" s="4">
        <f t="shared" si="14"/>
        <v>0</v>
      </c>
    </row>
    <row r="163" spans="1:16" ht="30" x14ac:dyDescent="0.25">
      <c r="A163" s="3" t="s">
        <v>125</v>
      </c>
      <c r="B163" s="3" t="s">
        <v>126</v>
      </c>
      <c r="C163" s="3" t="s">
        <v>183</v>
      </c>
      <c r="D163" s="3" t="s">
        <v>184</v>
      </c>
      <c r="E163" s="20">
        <v>14</v>
      </c>
      <c r="F163" s="3" t="s">
        <v>147</v>
      </c>
      <c r="G163" s="4">
        <v>600000</v>
      </c>
      <c r="H163" s="21">
        <v>67692</v>
      </c>
      <c r="I163" s="4">
        <f t="shared" si="10"/>
        <v>8400000</v>
      </c>
      <c r="J163" s="4">
        <f t="shared" si="11"/>
        <v>947688</v>
      </c>
      <c r="K163" s="4">
        <v>11648000</v>
      </c>
      <c r="L163" s="4">
        <f t="shared" si="12"/>
        <v>9347688</v>
      </c>
      <c r="M163" s="4">
        <f t="shared" si="13"/>
        <v>2300312</v>
      </c>
      <c r="N163" s="3" t="s">
        <v>148</v>
      </c>
      <c r="O163" s="22" t="s">
        <v>185</v>
      </c>
      <c r="P163" s="4">
        <f t="shared" si="14"/>
        <v>947688</v>
      </c>
    </row>
    <row r="164" spans="1:16" ht="30" x14ac:dyDescent="0.25">
      <c r="A164" s="3" t="s">
        <v>125</v>
      </c>
      <c r="B164" s="3" t="s">
        <v>126</v>
      </c>
      <c r="C164" s="3" t="s">
        <v>186</v>
      </c>
      <c r="D164" s="3" t="s">
        <v>64</v>
      </c>
      <c r="E164" s="20">
        <v>14</v>
      </c>
      <c r="F164" s="3" t="s">
        <v>147</v>
      </c>
      <c r="G164" s="4">
        <v>166000</v>
      </c>
      <c r="H164" s="4">
        <v>100000</v>
      </c>
      <c r="I164" s="4">
        <f t="shared" si="10"/>
        <v>2324000</v>
      </c>
      <c r="J164" s="4">
        <f t="shared" si="11"/>
        <v>1400000</v>
      </c>
      <c r="K164" s="4">
        <v>7000000</v>
      </c>
      <c r="L164" s="4">
        <f t="shared" si="12"/>
        <v>3724000</v>
      </c>
      <c r="M164" s="4">
        <f t="shared" si="13"/>
        <v>3276000</v>
      </c>
      <c r="N164" s="3" t="s">
        <v>148</v>
      </c>
      <c r="O164" s="3" t="s">
        <v>148</v>
      </c>
      <c r="P164" s="4">
        <f t="shared" si="14"/>
        <v>0</v>
      </c>
    </row>
    <row r="165" spans="1:16" ht="30" x14ac:dyDescent="0.25">
      <c r="A165" s="3" t="s">
        <v>125</v>
      </c>
      <c r="B165" s="3" t="s">
        <v>126</v>
      </c>
      <c r="C165" s="3" t="s">
        <v>62</v>
      </c>
      <c r="D165" s="3" t="s">
        <v>64</v>
      </c>
      <c r="E165" s="20">
        <v>10</v>
      </c>
      <c r="F165" s="3" t="s">
        <v>178</v>
      </c>
      <c r="G165" s="4">
        <v>442000</v>
      </c>
      <c r="H165" s="4">
        <v>50000</v>
      </c>
      <c r="I165" s="4">
        <f t="shared" si="10"/>
        <v>4420000</v>
      </c>
      <c r="J165" s="4">
        <f t="shared" si="11"/>
        <v>500000</v>
      </c>
      <c r="K165" s="4">
        <v>5310000</v>
      </c>
      <c r="L165" s="4">
        <f t="shared" si="12"/>
        <v>4920000</v>
      </c>
      <c r="M165" s="4">
        <f t="shared" si="13"/>
        <v>390000</v>
      </c>
      <c r="N165" s="3" t="s">
        <v>60</v>
      </c>
      <c r="O165" s="3" t="s">
        <v>148</v>
      </c>
      <c r="P165" s="4">
        <f t="shared" si="14"/>
        <v>0</v>
      </c>
    </row>
    <row r="166" spans="1:16" ht="30" x14ac:dyDescent="0.25">
      <c r="A166" s="3" t="s">
        <v>125</v>
      </c>
      <c r="B166" s="3" t="s">
        <v>126</v>
      </c>
      <c r="C166" s="3" t="s">
        <v>191</v>
      </c>
      <c r="D166" s="3" t="s">
        <v>159</v>
      </c>
      <c r="E166" s="20">
        <v>1</v>
      </c>
      <c r="F166" s="3" t="s">
        <v>158</v>
      </c>
      <c r="G166" s="4">
        <v>3335200</v>
      </c>
      <c r="H166" s="4">
        <v>2010462</v>
      </c>
      <c r="I166" s="4">
        <f t="shared" si="10"/>
        <v>3335200</v>
      </c>
      <c r="J166" s="4">
        <f t="shared" si="11"/>
        <v>2010462</v>
      </c>
      <c r="K166" s="4">
        <v>7417400</v>
      </c>
      <c r="L166" s="4">
        <f t="shared" si="12"/>
        <v>5345662</v>
      </c>
      <c r="M166" s="4">
        <f t="shared" si="13"/>
        <v>2071738</v>
      </c>
      <c r="N166" s="3" t="s">
        <v>217</v>
      </c>
      <c r="O166" s="3" t="s">
        <v>217</v>
      </c>
      <c r="P166" s="4">
        <f t="shared" si="14"/>
        <v>0</v>
      </c>
    </row>
    <row r="167" spans="1:16" ht="30" x14ac:dyDescent="0.25">
      <c r="A167" s="3" t="s">
        <v>125</v>
      </c>
      <c r="B167" s="3" t="s">
        <v>126</v>
      </c>
      <c r="C167" s="3" t="s">
        <v>201</v>
      </c>
      <c r="D167" s="3" t="s">
        <v>202</v>
      </c>
      <c r="E167" s="20">
        <v>78.666666666666671</v>
      </c>
      <c r="F167" s="3" t="s">
        <v>197</v>
      </c>
      <c r="G167" s="4">
        <v>0</v>
      </c>
      <c r="H167" s="4">
        <v>20000</v>
      </c>
      <c r="I167" s="4">
        <f t="shared" si="10"/>
        <v>0</v>
      </c>
      <c r="J167" s="4">
        <f t="shared" si="11"/>
        <v>1573333.3333333335</v>
      </c>
      <c r="K167" s="4">
        <v>2438667</v>
      </c>
      <c r="L167" s="4">
        <f t="shared" si="12"/>
        <v>1573333.3333333335</v>
      </c>
      <c r="M167" s="4">
        <f t="shared" si="13"/>
        <v>865333.66666666651</v>
      </c>
      <c r="N167" s="3" t="s">
        <v>203</v>
      </c>
      <c r="O167" s="3" t="s">
        <v>148</v>
      </c>
      <c r="P167" s="4">
        <f t="shared" si="14"/>
        <v>0</v>
      </c>
    </row>
    <row r="168" spans="1:16" ht="30" x14ac:dyDescent="0.25">
      <c r="A168" s="3" t="s">
        <v>125</v>
      </c>
      <c r="B168" s="3" t="s">
        <v>126</v>
      </c>
      <c r="C168" s="3" t="s">
        <v>204</v>
      </c>
      <c r="D168" s="3" t="s">
        <v>202</v>
      </c>
      <c r="E168" s="20">
        <v>78.666666666666671</v>
      </c>
      <c r="F168" s="3" t="s">
        <v>197</v>
      </c>
      <c r="G168" s="4">
        <v>0</v>
      </c>
      <c r="H168" s="4">
        <v>20000</v>
      </c>
      <c r="I168" s="4">
        <f t="shared" si="10"/>
        <v>0</v>
      </c>
      <c r="J168" s="4">
        <f t="shared" si="11"/>
        <v>1573333.3333333335</v>
      </c>
      <c r="K168" s="4">
        <v>2753333</v>
      </c>
      <c r="L168" s="4">
        <f t="shared" si="12"/>
        <v>1573333.3333333335</v>
      </c>
      <c r="M168" s="4">
        <f t="shared" si="13"/>
        <v>1179999.6666666665</v>
      </c>
      <c r="N168" s="3" t="s">
        <v>203</v>
      </c>
      <c r="O168" s="3" t="s">
        <v>148</v>
      </c>
      <c r="P168" s="4">
        <f t="shared" si="14"/>
        <v>0</v>
      </c>
    </row>
    <row r="169" spans="1:16" ht="30" x14ac:dyDescent="0.25">
      <c r="A169" s="3" t="s">
        <v>125</v>
      </c>
      <c r="B169" s="3" t="s">
        <v>127</v>
      </c>
      <c r="C169" s="3" t="s">
        <v>161</v>
      </c>
      <c r="D169" s="3" t="s">
        <v>64</v>
      </c>
      <c r="E169" s="20">
        <v>1</v>
      </c>
      <c r="F169" s="3" t="s">
        <v>147</v>
      </c>
      <c r="G169" s="4">
        <v>1260000</v>
      </c>
      <c r="H169" s="4">
        <v>500000</v>
      </c>
      <c r="I169" s="4">
        <f t="shared" si="10"/>
        <v>1260000</v>
      </c>
      <c r="J169" s="4">
        <f t="shared" si="11"/>
        <v>500000</v>
      </c>
      <c r="K169" s="4">
        <v>3500000</v>
      </c>
      <c r="L169" s="4">
        <f t="shared" si="12"/>
        <v>1760000</v>
      </c>
      <c r="M169" s="4">
        <f t="shared" si="13"/>
        <v>1740000</v>
      </c>
      <c r="N169" s="3" t="s">
        <v>60</v>
      </c>
      <c r="O169" s="3" t="s">
        <v>148</v>
      </c>
      <c r="P169" s="4">
        <f t="shared" si="14"/>
        <v>0</v>
      </c>
    </row>
    <row r="170" spans="1:16" ht="30" x14ac:dyDescent="0.25">
      <c r="A170" s="3" t="s">
        <v>125</v>
      </c>
      <c r="B170" s="3" t="s">
        <v>127</v>
      </c>
      <c r="C170" s="3" t="s">
        <v>75</v>
      </c>
      <c r="D170" s="3" t="s">
        <v>72</v>
      </c>
      <c r="E170" s="20">
        <v>140</v>
      </c>
      <c r="F170" s="3" t="s">
        <v>147</v>
      </c>
      <c r="G170" s="4">
        <v>140000</v>
      </c>
      <c r="H170" s="4">
        <v>100000</v>
      </c>
      <c r="I170" s="4">
        <f t="shared" si="10"/>
        <v>19600000</v>
      </c>
      <c r="J170" s="4">
        <f t="shared" si="11"/>
        <v>14000000</v>
      </c>
      <c r="K170" s="4">
        <v>49420000</v>
      </c>
      <c r="L170" s="4">
        <f t="shared" si="12"/>
        <v>33600000</v>
      </c>
      <c r="M170" s="4">
        <f t="shared" si="13"/>
        <v>15820000</v>
      </c>
      <c r="N170" s="3" t="s">
        <v>148</v>
      </c>
      <c r="O170" s="3" t="s">
        <v>148</v>
      </c>
      <c r="P170" s="4">
        <f t="shared" si="14"/>
        <v>0</v>
      </c>
    </row>
    <row r="171" spans="1:16" ht="30" x14ac:dyDescent="0.25">
      <c r="A171" s="3" t="s">
        <v>125</v>
      </c>
      <c r="B171" s="3" t="s">
        <v>127</v>
      </c>
      <c r="C171" s="3" t="s">
        <v>74</v>
      </c>
      <c r="D171" s="3" t="s">
        <v>72</v>
      </c>
      <c r="E171" s="20">
        <v>90</v>
      </c>
      <c r="F171" s="3" t="s">
        <v>147</v>
      </c>
      <c r="G171" s="4">
        <v>120000</v>
      </c>
      <c r="H171" s="4">
        <v>100000</v>
      </c>
      <c r="I171" s="4">
        <f t="shared" si="10"/>
        <v>10800000</v>
      </c>
      <c r="J171" s="4">
        <f t="shared" si="11"/>
        <v>9000000</v>
      </c>
      <c r="K171" s="4">
        <v>25290000</v>
      </c>
      <c r="L171" s="4">
        <f t="shared" si="12"/>
        <v>19800000</v>
      </c>
      <c r="M171" s="4">
        <f t="shared" si="13"/>
        <v>5490000</v>
      </c>
      <c r="N171" s="3" t="s">
        <v>148</v>
      </c>
      <c r="O171" s="3" t="s">
        <v>148</v>
      </c>
      <c r="P171" s="4">
        <f t="shared" si="14"/>
        <v>0</v>
      </c>
    </row>
    <row r="172" spans="1:16" ht="30" x14ac:dyDescent="0.25">
      <c r="A172" s="3" t="s">
        <v>125</v>
      </c>
      <c r="B172" s="3" t="s">
        <v>127</v>
      </c>
      <c r="C172" s="3" t="s">
        <v>162</v>
      </c>
      <c r="D172" s="3" t="s">
        <v>64</v>
      </c>
      <c r="E172" s="20">
        <v>10</v>
      </c>
      <c r="F172" s="3" t="s">
        <v>147</v>
      </c>
      <c r="G172" s="4">
        <v>53000</v>
      </c>
      <c r="H172" s="4">
        <v>25000</v>
      </c>
      <c r="I172" s="4">
        <f t="shared" si="10"/>
        <v>530000</v>
      </c>
      <c r="J172" s="4">
        <f t="shared" si="11"/>
        <v>250000</v>
      </c>
      <c r="K172" s="4">
        <v>1254000</v>
      </c>
      <c r="L172" s="4">
        <f t="shared" si="12"/>
        <v>780000</v>
      </c>
      <c r="M172" s="4">
        <f t="shared" si="13"/>
        <v>474000</v>
      </c>
      <c r="N172" s="3" t="s">
        <v>60</v>
      </c>
      <c r="O172" s="3" t="s">
        <v>148</v>
      </c>
      <c r="P172" s="4">
        <f t="shared" si="14"/>
        <v>0</v>
      </c>
    </row>
    <row r="173" spans="1:16" ht="30" x14ac:dyDescent="0.25">
      <c r="A173" s="3" t="s">
        <v>125</v>
      </c>
      <c r="B173" s="3" t="s">
        <v>127</v>
      </c>
      <c r="C173" s="3" t="s">
        <v>163</v>
      </c>
      <c r="D173" s="3" t="s">
        <v>64</v>
      </c>
      <c r="E173" s="20">
        <v>50</v>
      </c>
      <c r="F173" s="3" t="s">
        <v>147</v>
      </c>
      <c r="G173" s="4">
        <v>42000</v>
      </c>
      <c r="H173" s="4">
        <v>25000</v>
      </c>
      <c r="I173" s="4">
        <f t="shared" si="10"/>
        <v>2100000</v>
      </c>
      <c r="J173" s="4">
        <f t="shared" si="11"/>
        <v>1250000</v>
      </c>
      <c r="K173" s="4">
        <v>4400000</v>
      </c>
      <c r="L173" s="4">
        <f t="shared" si="12"/>
        <v>3350000</v>
      </c>
      <c r="M173" s="4">
        <f t="shared" si="13"/>
        <v>1050000</v>
      </c>
      <c r="N173" s="3" t="s">
        <v>60</v>
      </c>
      <c r="O173" s="3" t="s">
        <v>148</v>
      </c>
      <c r="P173" s="4">
        <f t="shared" si="14"/>
        <v>0</v>
      </c>
    </row>
    <row r="174" spans="1:16" ht="30" x14ac:dyDescent="0.25">
      <c r="A174" s="3" t="s">
        <v>125</v>
      </c>
      <c r="B174" s="3" t="s">
        <v>127</v>
      </c>
      <c r="C174" s="3" t="s">
        <v>211</v>
      </c>
      <c r="D174" s="3" t="s">
        <v>64</v>
      </c>
      <c r="E174" s="20">
        <v>6</v>
      </c>
      <c r="F174" s="3" t="s">
        <v>147</v>
      </c>
      <c r="G174" s="4">
        <v>190000</v>
      </c>
      <c r="H174" s="4">
        <v>50000</v>
      </c>
      <c r="I174" s="4">
        <f t="shared" si="10"/>
        <v>1140000</v>
      </c>
      <c r="J174" s="4">
        <f t="shared" si="11"/>
        <v>300000</v>
      </c>
      <c r="K174" s="4">
        <v>1350000</v>
      </c>
      <c r="L174" s="4">
        <f t="shared" si="12"/>
        <v>1440000</v>
      </c>
      <c r="M174" s="4">
        <f t="shared" si="13"/>
        <v>-90000</v>
      </c>
      <c r="N174" s="3" t="s">
        <v>60</v>
      </c>
      <c r="O174" s="3" t="s">
        <v>148</v>
      </c>
      <c r="P174" s="4">
        <f t="shared" si="14"/>
        <v>0</v>
      </c>
    </row>
    <row r="175" spans="1:16" ht="30" x14ac:dyDescent="0.25">
      <c r="A175" s="3" t="s">
        <v>125</v>
      </c>
      <c r="B175" s="3" t="s">
        <v>127</v>
      </c>
      <c r="C175" s="3" t="s">
        <v>165</v>
      </c>
      <c r="D175" s="3" t="s">
        <v>64</v>
      </c>
      <c r="E175" s="20">
        <v>10</v>
      </c>
      <c r="F175" s="3" t="s">
        <v>147</v>
      </c>
      <c r="G175" s="4">
        <v>75000</v>
      </c>
      <c r="H175" s="4">
        <v>25000</v>
      </c>
      <c r="I175" s="4">
        <f t="shared" si="10"/>
        <v>750000</v>
      </c>
      <c r="J175" s="4">
        <f t="shared" si="11"/>
        <v>250000</v>
      </c>
      <c r="K175" s="4">
        <v>1610000</v>
      </c>
      <c r="L175" s="4">
        <f t="shared" si="12"/>
        <v>1000000</v>
      </c>
      <c r="M175" s="4">
        <f t="shared" si="13"/>
        <v>610000</v>
      </c>
      <c r="N175" s="3" t="s">
        <v>60</v>
      </c>
      <c r="O175" s="3" t="s">
        <v>148</v>
      </c>
      <c r="P175" s="4">
        <f t="shared" si="14"/>
        <v>0</v>
      </c>
    </row>
    <row r="176" spans="1:16" ht="30" x14ac:dyDescent="0.25">
      <c r="A176" s="3" t="s">
        <v>125</v>
      </c>
      <c r="B176" s="3" t="s">
        <v>127</v>
      </c>
      <c r="C176" s="3" t="s">
        <v>79</v>
      </c>
      <c r="D176" s="3" t="s">
        <v>78</v>
      </c>
      <c r="E176" s="20">
        <v>1</v>
      </c>
      <c r="F176" s="3" t="s">
        <v>147</v>
      </c>
      <c r="G176" s="4">
        <v>2205000</v>
      </c>
      <c r="H176" s="4">
        <v>150000</v>
      </c>
      <c r="I176" s="4">
        <f t="shared" si="10"/>
        <v>2205000</v>
      </c>
      <c r="J176" s="4">
        <f t="shared" si="11"/>
        <v>150000</v>
      </c>
      <c r="K176" s="4">
        <v>4188000</v>
      </c>
      <c r="L176" s="4">
        <f t="shared" si="12"/>
        <v>2355000</v>
      </c>
      <c r="M176" s="4">
        <f t="shared" si="13"/>
        <v>1833000</v>
      </c>
      <c r="N176" s="3" t="s">
        <v>60</v>
      </c>
      <c r="O176" s="3" t="s">
        <v>148</v>
      </c>
      <c r="P176" s="4">
        <f t="shared" si="14"/>
        <v>0</v>
      </c>
    </row>
    <row r="177" spans="1:16" ht="30" x14ac:dyDescent="0.25">
      <c r="A177" s="3" t="s">
        <v>125</v>
      </c>
      <c r="B177" s="3" t="s">
        <v>127</v>
      </c>
      <c r="C177" s="3" t="s">
        <v>182</v>
      </c>
      <c r="D177" s="3" t="s">
        <v>176</v>
      </c>
      <c r="E177" s="20">
        <v>12</v>
      </c>
      <c r="F177" s="3" t="s">
        <v>147</v>
      </c>
      <c r="G177" s="4">
        <v>368000</v>
      </c>
      <c r="H177" s="4">
        <v>400000</v>
      </c>
      <c r="I177" s="4">
        <f t="shared" si="10"/>
        <v>4416000</v>
      </c>
      <c r="J177" s="4">
        <f t="shared" si="11"/>
        <v>4800000</v>
      </c>
      <c r="K177" s="4">
        <v>12180000</v>
      </c>
      <c r="L177" s="4">
        <f t="shared" si="12"/>
        <v>9216000</v>
      </c>
      <c r="M177" s="4">
        <f t="shared" si="13"/>
        <v>2964000</v>
      </c>
      <c r="N177" s="3" t="s">
        <v>60</v>
      </c>
      <c r="O177" s="3" t="s">
        <v>148</v>
      </c>
      <c r="P177" s="4">
        <f t="shared" si="14"/>
        <v>0</v>
      </c>
    </row>
    <row r="178" spans="1:16" ht="30" x14ac:dyDescent="0.25">
      <c r="A178" s="3" t="s">
        <v>125</v>
      </c>
      <c r="B178" s="3" t="s">
        <v>127</v>
      </c>
      <c r="C178" s="3" t="s">
        <v>183</v>
      </c>
      <c r="D178" s="3" t="s">
        <v>184</v>
      </c>
      <c r="E178" s="20">
        <v>12</v>
      </c>
      <c r="F178" s="3" t="s">
        <v>147</v>
      </c>
      <c r="G178" s="4">
        <v>600000</v>
      </c>
      <c r="H178" s="21">
        <v>67692</v>
      </c>
      <c r="I178" s="4">
        <f t="shared" si="10"/>
        <v>7200000</v>
      </c>
      <c r="J178" s="4">
        <f t="shared" si="11"/>
        <v>812304</v>
      </c>
      <c r="K178" s="4">
        <v>9984000</v>
      </c>
      <c r="L178" s="4">
        <f t="shared" si="12"/>
        <v>8012304</v>
      </c>
      <c r="M178" s="4">
        <f t="shared" si="13"/>
        <v>1971696</v>
      </c>
      <c r="N178" s="3" t="s">
        <v>148</v>
      </c>
      <c r="O178" s="22" t="s">
        <v>185</v>
      </c>
      <c r="P178" s="4">
        <f t="shared" si="14"/>
        <v>812304</v>
      </c>
    </row>
    <row r="179" spans="1:16" ht="30" x14ac:dyDescent="0.25">
      <c r="A179" s="3" t="s">
        <v>125</v>
      </c>
      <c r="B179" s="3" t="s">
        <v>127</v>
      </c>
      <c r="C179" s="3" t="s">
        <v>186</v>
      </c>
      <c r="D179" s="3" t="s">
        <v>64</v>
      </c>
      <c r="E179" s="20">
        <v>12</v>
      </c>
      <c r="F179" s="3" t="s">
        <v>147</v>
      </c>
      <c r="G179" s="4">
        <v>166000</v>
      </c>
      <c r="H179" s="4">
        <v>100000</v>
      </c>
      <c r="I179" s="4">
        <f t="shared" si="10"/>
        <v>1992000</v>
      </c>
      <c r="J179" s="4">
        <f t="shared" si="11"/>
        <v>1200000</v>
      </c>
      <c r="K179" s="4">
        <v>6000000</v>
      </c>
      <c r="L179" s="4">
        <f t="shared" si="12"/>
        <v>3192000</v>
      </c>
      <c r="M179" s="4">
        <f t="shared" si="13"/>
        <v>2808000</v>
      </c>
      <c r="N179" s="3" t="s">
        <v>148</v>
      </c>
      <c r="O179" s="3" t="s">
        <v>148</v>
      </c>
      <c r="P179" s="4">
        <f t="shared" si="14"/>
        <v>0</v>
      </c>
    </row>
    <row r="180" spans="1:16" ht="30" x14ac:dyDescent="0.25">
      <c r="A180" s="3" t="s">
        <v>125</v>
      </c>
      <c r="B180" s="3" t="s">
        <v>127</v>
      </c>
      <c r="C180" s="3" t="s">
        <v>62</v>
      </c>
      <c r="D180" s="3" t="s">
        <v>64</v>
      </c>
      <c r="E180" s="20">
        <v>8</v>
      </c>
      <c r="F180" s="3" t="s">
        <v>178</v>
      </c>
      <c r="G180" s="4">
        <v>442000</v>
      </c>
      <c r="H180" s="4">
        <v>50000</v>
      </c>
      <c r="I180" s="4">
        <f t="shared" si="10"/>
        <v>3536000</v>
      </c>
      <c r="J180" s="4">
        <f t="shared" si="11"/>
        <v>400000</v>
      </c>
      <c r="K180" s="4">
        <v>4248000</v>
      </c>
      <c r="L180" s="4">
        <f t="shared" si="12"/>
        <v>3936000</v>
      </c>
      <c r="M180" s="4">
        <f t="shared" si="13"/>
        <v>312000</v>
      </c>
      <c r="N180" s="3" t="s">
        <v>60</v>
      </c>
      <c r="O180" s="3" t="s">
        <v>148</v>
      </c>
      <c r="P180" s="4">
        <f t="shared" si="14"/>
        <v>0</v>
      </c>
    </row>
    <row r="181" spans="1:16" ht="30" x14ac:dyDescent="0.25">
      <c r="A181" s="3" t="s">
        <v>125</v>
      </c>
      <c r="B181" s="3" t="s">
        <v>127</v>
      </c>
      <c r="C181" s="3" t="s">
        <v>191</v>
      </c>
      <c r="D181" s="3" t="s">
        <v>159</v>
      </c>
      <c r="E181" s="20">
        <v>1</v>
      </c>
      <c r="F181" s="3" t="s">
        <v>158</v>
      </c>
      <c r="G181" s="4">
        <v>2776450</v>
      </c>
      <c r="H181" s="4">
        <v>1645615</v>
      </c>
      <c r="I181" s="4">
        <f t="shared" si="10"/>
        <v>2776450</v>
      </c>
      <c r="J181" s="4">
        <f t="shared" si="11"/>
        <v>1645615</v>
      </c>
      <c r="K181" s="4">
        <v>6171200</v>
      </c>
      <c r="L181" s="4">
        <f t="shared" si="12"/>
        <v>4422065</v>
      </c>
      <c r="M181" s="4">
        <f t="shared" si="13"/>
        <v>1749135</v>
      </c>
      <c r="N181" s="3" t="s">
        <v>218</v>
      </c>
      <c r="O181" s="3" t="s">
        <v>218</v>
      </c>
      <c r="P181" s="4">
        <f t="shared" si="14"/>
        <v>0</v>
      </c>
    </row>
    <row r="182" spans="1:16" ht="30" x14ac:dyDescent="0.25">
      <c r="A182" s="3" t="s">
        <v>125</v>
      </c>
      <c r="B182" s="3" t="s">
        <v>127</v>
      </c>
      <c r="C182" s="3" t="s">
        <v>201</v>
      </c>
      <c r="D182" s="3" t="s">
        <v>202</v>
      </c>
      <c r="E182" s="20">
        <v>68</v>
      </c>
      <c r="F182" s="3" t="s">
        <v>197</v>
      </c>
      <c r="G182" s="4">
        <v>0</v>
      </c>
      <c r="H182" s="4">
        <v>20000</v>
      </c>
      <c r="I182" s="4">
        <f t="shared" si="10"/>
        <v>0</v>
      </c>
      <c r="J182" s="4">
        <f t="shared" si="11"/>
        <v>1360000</v>
      </c>
      <c r="K182" s="4">
        <v>2108000</v>
      </c>
      <c r="L182" s="4">
        <f t="shared" si="12"/>
        <v>1360000</v>
      </c>
      <c r="M182" s="4">
        <f t="shared" si="13"/>
        <v>748000</v>
      </c>
      <c r="N182" s="3" t="s">
        <v>203</v>
      </c>
      <c r="O182" s="3" t="s">
        <v>148</v>
      </c>
      <c r="P182" s="4">
        <f t="shared" si="14"/>
        <v>0</v>
      </c>
    </row>
    <row r="183" spans="1:16" ht="30" x14ac:dyDescent="0.25">
      <c r="A183" s="3" t="s">
        <v>125</v>
      </c>
      <c r="B183" s="3" t="s">
        <v>127</v>
      </c>
      <c r="C183" s="3" t="s">
        <v>204</v>
      </c>
      <c r="D183" s="3" t="s">
        <v>202</v>
      </c>
      <c r="E183" s="20">
        <v>68</v>
      </c>
      <c r="F183" s="3" t="s">
        <v>197</v>
      </c>
      <c r="G183" s="4">
        <v>0</v>
      </c>
      <c r="H183" s="4">
        <v>20000</v>
      </c>
      <c r="I183" s="4">
        <f t="shared" si="10"/>
        <v>0</v>
      </c>
      <c r="J183" s="4">
        <f t="shared" si="11"/>
        <v>1360000</v>
      </c>
      <c r="K183" s="4">
        <v>2380000</v>
      </c>
      <c r="L183" s="4">
        <f t="shared" si="12"/>
        <v>1360000</v>
      </c>
      <c r="M183" s="4">
        <f t="shared" si="13"/>
        <v>1020000</v>
      </c>
      <c r="N183" s="3" t="s">
        <v>203</v>
      </c>
      <c r="O183" s="3" t="s">
        <v>148</v>
      </c>
      <c r="P183" s="4">
        <f t="shared" si="14"/>
        <v>0</v>
      </c>
    </row>
    <row r="184" spans="1:16" ht="30" x14ac:dyDescent="0.25">
      <c r="A184" s="3" t="s">
        <v>125</v>
      </c>
      <c r="B184" s="3" t="s">
        <v>127</v>
      </c>
      <c r="C184" s="3" t="s">
        <v>219</v>
      </c>
      <c r="D184" s="3" t="s">
        <v>64</v>
      </c>
      <c r="E184" s="20">
        <v>2</v>
      </c>
      <c r="F184" s="3" t="s">
        <v>147</v>
      </c>
      <c r="G184" s="4">
        <v>158000</v>
      </c>
      <c r="H184" s="4">
        <v>100000</v>
      </c>
      <c r="I184" s="4">
        <f t="shared" si="10"/>
        <v>316000</v>
      </c>
      <c r="J184" s="4">
        <f t="shared" si="11"/>
        <v>200000</v>
      </c>
      <c r="K184" s="4">
        <v>900000</v>
      </c>
      <c r="L184" s="4">
        <f t="shared" si="12"/>
        <v>516000</v>
      </c>
      <c r="M184" s="4">
        <f t="shared" si="13"/>
        <v>384000</v>
      </c>
      <c r="N184" s="3" t="s">
        <v>60</v>
      </c>
      <c r="O184" s="3" t="s">
        <v>148</v>
      </c>
      <c r="P184" s="4">
        <f t="shared" si="14"/>
        <v>0</v>
      </c>
    </row>
    <row r="185" spans="1:16" ht="30" x14ac:dyDescent="0.25">
      <c r="A185" s="3" t="s">
        <v>125</v>
      </c>
      <c r="B185" s="3" t="s">
        <v>127</v>
      </c>
      <c r="C185" s="3" t="s">
        <v>208</v>
      </c>
      <c r="D185" s="3" t="s">
        <v>64</v>
      </c>
      <c r="E185" s="20">
        <v>16</v>
      </c>
      <c r="F185" s="3" t="s">
        <v>147</v>
      </c>
      <c r="G185" s="4">
        <v>190000</v>
      </c>
      <c r="H185" s="4">
        <v>100000</v>
      </c>
      <c r="I185" s="4">
        <f t="shared" si="10"/>
        <v>3040000</v>
      </c>
      <c r="J185" s="4">
        <f t="shared" si="11"/>
        <v>1600000</v>
      </c>
      <c r="K185" s="4">
        <v>7680000</v>
      </c>
      <c r="L185" s="4">
        <f t="shared" si="12"/>
        <v>4640000</v>
      </c>
      <c r="M185" s="4">
        <f t="shared" si="13"/>
        <v>3040000</v>
      </c>
      <c r="N185" s="3" t="s">
        <v>60</v>
      </c>
      <c r="O185" s="3" t="s">
        <v>148</v>
      </c>
      <c r="P185" s="4">
        <f t="shared" si="14"/>
        <v>0</v>
      </c>
    </row>
    <row r="186" spans="1:16" ht="30" x14ac:dyDescent="0.25">
      <c r="A186" s="3" t="s">
        <v>125</v>
      </c>
      <c r="B186" s="3" t="s">
        <v>127</v>
      </c>
      <c r="C186" s="3" t="s">
        <v>220</v>
      </c>
      <c r="D186" s="3" t="s">
        <v>194</v>
      </c>
      <c r="E186" s="20">
        <v>300</v>
      </c>
      <c r="F186" s="3" t="s">
        <v>147</v>
      </c>
      <c r="G186" s="4">
        <v>7500</v>
      </c>
      <c r="H186" s="4">
        <v>5000</v>
      </c>
      <c r="I186" s="4">
        <f t="shared" si="10"/>
        <v>2250000</v>
      </c>
      <c r="J186" s="4">
        <f t="shared" si="11"/>
        <v>1500000</v>
      </c>
      <c r="K186" s="4">
        <v>6900000</v>
      </c>
      <c r="L186" s="4">
        <f t="shared" si="12"/>
        <v>3750000</v>
      </c>
      <c r="M186" s="4">
        <f t="shared" si="13"/>
        <v>3150000</v>
      </c>
      <c r="N186" s="3" t="s">
        <v>148</v>
      </c>
      <c r="O186" s="3" t="s">
        <v>148</v>
      </c>
      <c r="P186" s="4">
        <f t="shared" si="14"/>
        <v>0</v>
      </c>
    </row>
    <row r="187" spans="1:16" ht="30" x14ac:dyDescent="0.25">
      <c r="A187" s="3" t="s">
        <v>125</v>
      </c>
      <c r="B187" s="3" t="s">
        <v>127</v>
      </c>
      <c r="C187" s="3" t="s">
        <v>155</v>
      </c>
      <c r="D187" s="3" t="s">
        <v>72</v>
      </c>
      <c r="E187" s="20">
        <v>300</v>
      </c>
      <c r="F187" s="3" t="s">
        <v>147</v>
      </c>
      <c r="G187" s="4">
        <v>6000</v>
      </c>
      <c r="H187" s="4">
        <v>20000</v>
      </c>
      <c r="I187" s="4">
        <f t="shared" si="10"/>
        <v>1800000</v>
      </c>
      <c r="J187" s="4">
        <f t="shared" si="11"/>
        <v>6000000</v>
      </c>
      <c r="K187" s="4">
        <v>12600000</v>
      </c>
      <c r="L187" s="4">
        <f t="shared" si="12"/>
        <v>7800000</v>
      </c>
      <c r="M187" s="4">
        <f t="shared" si="13"/>
        <v>4800000</v>
      </c>
      <c r="N187" s="3" t="s">
        <v>148</v>
      </c>
      <c r="O187" s="3" t="s">
        <v>148</v>
      </c>
      <c r="P187" s="4">
        <f t="shared" si="14"/>
        <v>0</v>
      </c>
    </row>
    <row r="188" spans="1:16" ht="30" x14ac:dyDescent="0.25">
      <c r="A188" s="3" t="s">
        <v>125</v>
      </c>
      <c r="B188" s="3" t="s">
        <v>127</v>
      </c>
      <c r="C188" s="3" t="s">
        <v>199</v>
      </c>
      <c r="D188" s="3" t="s">
        <v>200</v>
      </c>
      <c r="E188" s="20">
        <v>4</v>
      </c>
      <c r="F188" s="3" t="s">
        <v>197</v>
      </c>
      <c r="G188" s="4">
        <v>1500000</v>
      </c>
      <c r="H188" s="4">
        <v>10000000</v>
      </c>
      <c r="I188" s="4">
        <f t="shared" si="10"/>
        <v>6000000</v>
      </c>
      <c r="J188" s="4">
        <f t="shared" si="11"/>
        <v>40000000</v>
      </c>
      <c r="K188" s="4">
        <v>48000000</v>
      </c>
      <c r="L188" s="4">
        <f t="shared" si="12"/>
        <v>46000000</v>
      </c>
      <c r="M188" s="4">
        <f t="shared" si="13"/>
        <v>2000000</v>
      </c>
      <c r="N188" s="3" t="s">
        <v>148</v>
      </c>
      <c r="O188" s="3" t="s">
        <v>148</v>
      </c>
      <c r="P188" s="4">
        <f t="shared" si="14"/>
        <v>0</v>
      </c>
    </row>
    <row r="189" spans="1:16" ht="30" x14ac:dyDescent="0.25">
      <c r="A189" s="3" t="s">
        <v>125</v>
      </c>
      <c r="B189" s="3" t="s">
        <v>128</v>
      </c>
      <c r="C189" s="3" t="s">
        <v>221</v>
      </c>
      <c r="D189" s="3" t="s">
        <v>64</v>
      </c>
      <c r="E189" s="20">
        <v>1</v>
      </c>
      <c r="F189" s="3" t="s">
        <v>147</v>
      </c>
      <c r="G189" s="4">
        <v>8600000</v>
      </c>
      <c r="H189" s="4">
        <v>1500000</v>
      </c>
      <c r="I189" s="4">
        <f t="shared" si="10"/>
        <v>8600000</v>
      </c>
      <c r="J189" s="4">
        <f t="shared" si="11"/>
        <v>1500000</v>
      </c>
      <c r="K189" s="4">
        <v>14207000</v>
      </c>
      <c r="L189" s="4">
        <f t="shared" si="12"/>
        <v>10100000</v>
      </c>
      <c r="M189" s="4">
        <f t="shared" si="13"/>
        <v>4107000</v>
      </c>
      <c r="N189" s="3" t="s">
        <v>148</v>
      </c>
      <c r="O189" s="3" t="s">
        <v>148</v>
      </c>
      <c r="P189" s="4">
        <f t="shared" si="14"/>
        <v>0</v>
      </c>
    </row>
    <row r="190" spans="1:16" ht="30" x14ac:dyDescent="0.25">
      <c r="A190" s="3" t="s">
        <v>125</v>
      </c>
      <c r="B190" s="3" t="s">
        <v>128</v>
      </c>
      <c r="C190" s="3" t="s">
        <v>149</v>
      </c>
      <c r="D190" s="3" t="s">
        <v>64</v>
      </c>
      <c r="E190" s="20">
        <v>10</v>
      </c>
      <c r="F190" s="3" t="s">
        <v>147</v>
      </c>
      <c r="G190" s="4">
        <v>252000</v>
      </c>
      <c r="H190" s="4">
        <v>100000</v>
      </c>
      <c r="I190" s="4">
        <f t="shared" si="10"/>
        <v>2520000</v>
      </c>
      <c r="J190" s="4">
        <f t="shared" si="11"/>
        <v>1000000</v>
      </c>
      <c r="K190" s="4">
        <v>8250000</v>
      </c>
      <c r="L190" s="4">
        <f t="shared" si="12"/>
        <v>3520000</v>
      </c>
      <c r="M190" s="4">
        <f t="shared" si="13"/>
        <v>4730000</v>
      </c>
      <c r="N190" s="3" t="s">
        <v>60</v>
      </c>
      <c r="O190" s="3" t="s">
        <v>148</v>
      </c>
      <c r="P190" s="4">
        <f t="shared" si="14"/>
        <v>0</v>
      </c>
    </row>
    <row r="191" spans="1:16" ht="30" x14ac:dyDescent="0.25">
      <c r="A191" s="3" t="s">
        <v>125</v>
      </c>
      <c r="B191" s="3" t="s">
        <v>128</v>
      </c>
      <c r="C191" s="3" t="s">
        <v>150</v>
      </c>
      <c r="D191" s="3" t="s">
        <v>64</v>
      </c>
      <c r="E191" s="20">
        <v>10</v>
      </c>
      <c r="F191" s="3" t="s">
        <v>147</v>
      </c>
      <c r="G191" s="4">
        <v>205000</v>
      </c>
      <c r="H191" s="4">
        <v>100000</v>
      </c>
      <c r="I191" s="4">
        <f t="shared" si="10"/>
        <v>2050000</v>
      </c>
      <c r="J191" s="4">
        <f t="shared" si="11"/>
        <v>1000000</v>
      </c>
      <c r="K191" s="4">
        <v>5310000</v>
      </c>
      <c r="L191" s="4">
        <f t="shared" si="12"/>
        <v>3050000</v>
      </c>
      <c r="M191" s="4">
        <f t="shared" si="13"/>
        <v>2260000</v>
      </c>
      <c r="N191" s="3" t="s">
        <v>60</v>
      </c>
      <c r="O191" s="3" t="s">
        <v>148</v>
      </c>
      <c r="P191" s="4">
        <f t="shared" si="14"/>
        <v>0</v>
      </c>
    </row>
    <row r="192" spans="1:16" ht="30" x14ac:dyDescent="0.25">
      <c r="A192" s="3" t="s">
        <v>125</v>
      </c>
      <c r="B192" s="3" t="s">
        <v>128</v>
      </c>
      <c r="C192" s="3" t="s">
        <v>151</v>
      </c>
      <c r="D192" s="3" t="s">
        <v>64</v>
      </c>
      <c r="E192" s="20">
        <v>166</v>
      </c>
      <c r="F192" s="3" t="s">
        <v>147</v>
      </c>
      <c r="G192" s="4">
        <v>242000</v>
      </c>
      <c r="H192" s="4">
        <v>100000</v>
      </c>
      <c r="I192" s="4">
        <f t="shared" si="10"/>
        <v>40172000</v>
      </c>
      <c r="J192" s="4">
        <f t="shared" si="11"/>
        <v>16600000</v>
      </c>
      <c r="K192" s="4">
        <v>93126000</v>
      </c>
      <c r="L192" s="4">
        <f t="shared" si="12"/>
        <v>56772000</v>
      </c>
      <c r="M192" s="4">
        <f t="shared" si="13"/>
        <v>36354000</v>
      </c>
      <c r="N192" s="3" t="s">
        <v>60</v>
      </c>
      <c r="O192" s="3" t="s">
        <v>148</v>
      </c>
      <c r="P192" s="4">
        <f t="shared" si="14"/>
        <v>0</v>
      </c>
    </row>
    <row r="193" spans="1:16" ht="30" x14ac:dyDescent="0.25">
      <c r="A193" s="3" t="s">
        <v>125</v>
      </c>
      <c r="B193" s="3" t="s">
        <v>128</v>
      </c>
      <c r="C193" s="3" t="s">
        <v>77</v>
      </c>
      <c r="D193" s="3" t="s">
        <v>64</v>
      </c>
      <c r="E193" s="20">
        <v>40</v>
      </c>
      <c r="F193" s="3" t="s">
        <v>147</v>
      </c>
      <c r="G193" s="4">
        <v>116000</v>
      </c>
      <c r="H193" s="4">
        <v>100000</v>
      </c>
      <c r="I193" s="4">
        <f t="shared" si="10"/>
        <v>4640000</v>
      </c>
      <c r="J193" s="4">
        <f t="shared" si="11"/>
        <v>4000000</v>
      </c>
      <c r="K193" s="4">
        <v>7240000</v>
      </c>
      <c r="L193" s="4">
        <f t="shared" si="12"/>
        <v>8640000</v>
      </c>
      <c r="M193" s="4">
        <f t="shared" si="13"/>
        <v>-1400000</v>
      </c>
      <c r="N193" s="3" t="s">
        <v>60</v>
      </c>
      <c r="O193" s="3" t="s">
        <v>148</v>
      </c>
      <c r="P193" s="4">
        <f t="shared" si="14"/>
        <v>0</v>
      </c>
    </row>
    <row r="194" spans="1:16" ht="30" x14ac:dyDescent="0.25">
      <c r="A194" s="3" t="s">
        <v>125</v>
      </c>
      <c r="B194" s="3" t="s">
        <v>128</v>
      </c>
      <c r="C194" s="3" t="s">
        <v>153</v>
      </c>
      <c r="D194" s="3" t="s">
        <v>72</v>
      </c>
      <c r="E194" s="20">
        <v>2500</v>
      </c>
      <c r="F194" s="3" t="s">
        <v>147</v>
      </c>
      <c r="G194" s="4">
        <v>5000</v>
      </c>
      <c r="H194" s="4">
        <v>5000</v>
      </c>
      <c r="I194" s="4">
        <f t="shared" si="10"/>
        <v>12500000</v>
      </c>
      <c r="J194" s="4">
        <f t="shared" si="11"/>
        <v>12500000</v>
      </c>
      <c r="K194" s="4">
        <v>55000000</v>
      </c>
      <c r="L194" s="4">
        <f t="shared" si="12"/>
        <v>25000000</v>
      </c>
      <c r="M194" s="4">
        <f t="shared" si="13"/>
        <v>30000000</v>
      </c>
      <c r="N194" s="3" t="s">
        <v>148</v>
      </c>
      <c r="O194" s="3" t="s">
        <v>148</v>
      </c>
      <c r="P194" s="4">
        <f t="shared" si="14"/>
        <v>0</v>
      </c>
    </row>
    <row r="195" spans="1:16" ht="30" x14ac:dyDescent="0.25">
      <c r="A195" s="3" t="s">
        <v>125</v>
      </c>
      <c r="B195" s="3" t="s">
        <v>128</v>
      </c>
      <c r="C195" s="3" t="s">
        <v>154</v>
      </c>
      <c r="D195" s="3" t="s">
        <v>72</v>
      </c>
      <c r="E195" s="20">
        <v>30</v>
      </c>
      <c r="F195" s="3" t="s">
        <v>147</v>
      </c>
      <c r="G195" s="4">
        <v>7500</v>
      </c>
      <c r="H195" s="4">
        <v>5000</v>
      </c>
      <c r="I195" s="4">
        <f t="shared" si="10"/>
        <v>225000</v>
      </c>
      <c r="J195" s="4">
        <f t="shared" si="11"/>
        <v>150000</v>
      </c>
      <c r="K195" s="4">
        <v>1650000</v>
      </c>
      <c r="L195" s="4">
        <f t="shared" si="12"/>
        <v>375000</v>
      </c>
      <c r="M195" s="4">
        <f t="shared" si="13"/>
        <v>1275000</v>
      </c>
      <c r="N195" s="3" t="s">
        <v>148</v>
      </c>
      <c r="O195" s="3" t="s">
        <v>148</v>
      </c>
      <c r="P195" s="4">
        <f t="shared" si="14"/>
        <v>0</v>
      </c>
    </row>
    <row r="196" spans="1:16" ht="30" x14ac:dyDescent="0.25">
      <c r="A196" s="3" t="s">
        <v>125</v>
      </c>
      <c r="B196" s="3" t="s">
        <v>128</v>
      </c>
      <c r="C196" s="3" t="s">
        <v>155</v>
      </c>
      <c r="D196" s="3" t="s">
        <v>72</v>
      </c>
      <c r="E196" s="20">
        <v>1800</v>
      </c>
      <c r="F196" s="3" t="s">
        <v>147</v>
      </c>
      <c r="G196" s="4">
        <v>6000</v>
      </c>
      <c r="H196" s="4">
        <v>20000</v>
      </c>
      <c r="I196" s="4">
        <f t="shared" ref="I196:I259" si="15">E196*G196</f>
        <v>10800000</v>
      </c>
      <c r="J196" s="4">
        <f t="shared" ref="J196:J259" si="16">E196*H196</f>
        <v>36000000</v>
      </c>
      <c r="K196" s="4">
        <v>75600000</v>
      </c>
      <c r="L196" s="4">
        <f t="shared" ref="L196:L259" si="17">I196+J196</f>
        <v>46800000</v>
      </c>
      <c r="M196" s="4">
        <f t="shared" ref="M196:M259" si="18">K196-L196</f>
        <v>28800000</v>
      </c>
      <c r="N196" s="3" t="s">
        <v>148</v>
      </c>
      <c r="O196" s="3" t="s">
        <v>148</v>
      </c>
      <c r="P196" s="4">
        <f t="shared" ref="P196:P259" si="19">IF(LEFT(N196,3)="Tạm",I196,0)+IF(LEFT(O196,3)="Tạm",J196,0)</f>
        <v>0</v>
      </c>
    </row>
    <row r="197" spans="1:16" ht="30" x14ac:dyDescent="0.25">
      <c r="A197" s="3" t="s">
        <v>125</v>
      </c>
      <c r="B197" s="3" t="s">
        <v>128</v>
      </c>
      <c r="C197" s="3" t="s">
        <v>156</v>
      </c>
      <c r="D197" s="3" t="s">
        <v>157</v>
      </c>
      <c r="E197" s="20">
        <v>1</v>
      </c>
      <c r="F197" s="3" t="s">
        <v>147</v>
      </c>
      <c r="G197" s="4">
        <v>252000</v>
      </c>
      <c r="H197" s="4">
        <v>20000</v>
      </c>
      <c r="I197" s="4">
        <f t="shared" si="15"/>
        <v>252000</v>
      </c>
      <c r="J197" s="4">
        <f t="shared" si="16"/>
        <v>20000</v>
      </c>
      <c r="K197" s="4">
        <v>1350000</v>
      </c>
      <c r="L197" s="4">
        <f t="shared" si="17"/>
        <v>272000</v>
      </c>
      <c r="M197" s="4">
        <f t="shared" si="18"/>
        <v>1078000</v>
      </c>
      <c r="N197" s="3" t="s">
        <v>60</v>
      </c>
      <c r="O197" s="3" t="s">
        <v>148</v>
      </c>
      <c r="P197" s="4">
        <f t="shared" si="19"/>
        <v>0</v>
      </c>
    </row>
    <row r="198" spans="1:16" ht="30" x14ac:dyDescent="0.25">
      <c r="A198" s="3" t="s">
        <v>125</v>
      </c>
      <c r="B198" s="3" t="s">
        <v>128</v>
      </c>
      <c r="C198" s="3" t="s">
        <v>158</v>
      </c>
      <c r="D198" s="3" t="s">
        <v>159</v>
      </c>
      <c r="E198" s="20">
        <v>1</v>
      </c>
      <c r="F198" s="3" t="s">
        <v>158</v>
      </c>
      <c r="G198" s="4">
        <v>4087950</v>
      </c>
      <c r="H198" s="4">
        <v>3638500</v>
      </c>
      <c r="I198" s="4">
        <f t="shared" si="15"/>
        <v>4087950</v>
      </c>
      <c r="J198" s="4">
        <f t="shared" si="16"/>
        <v>3638500</v>
      </c>
      <c r="K198" s="4">
        <v>13086650</v>
      </c>
      <c r="L198" s="4">
        <f t="shared" si="17"/>
        <v>7726450</v>
      </c>
      <c r="M198" s="4">
        <f t="shared" si="18"/>
        <v>5360200</v>
      </c>
      <c r="N198" s="3" t="s">
        <v>222</v>
      </c>
      <c r="O198" s="3" t="s">
        <v>222</v>
      </c>
      <c r="P198" s="4">
        <f t="shared" si="19"/>
        <v>0</v>
      </c>
    </row>
    <row r="199" spans="1:16" ht="30" x14ac:dyDescent="0.25">
      <c r="A199" s="3" t="s">
        <v>125</v>
      </c>
      <c r="B199" s="3" t="s">
        <v>128</v>
      </c>
      <c r="C199" s="3" t="s">
        <v>161</v>
      </c>
      <c r="D199" s="3" t="s">
        <v>64</v>
      </c>
      <c r="E199" s="20">
        <v>1</v>
      </c>
      <c r="F199" s="3" t="s">
        <v>147</v>
      </c>
      <c r="G199" s="4">
        <v>1260000</v>
      </c>
      <c r="H199" s="4">
        <v>500000</v>
      </c>
      <c r="I199" s="4">
        <f t="shared" si="15"/>
        <v>1260000</v>
      </c>
      <c r="J199" s="4">
        <f t="shared" si="16"/>
        <v>500000</v>
      </c>
      <c r="K199" s="4">
        <v>3500000</v>
      </c>
      <c r="L199" s="4">
        <f t="shared" si="17"/>
        <v>1760000</v>
      </c>
      <c r="M199" s="4">
        <f t="shared" si="18"/>
        <v>1740000</v>
      </c>
      <c r="N199" s="3" t="s">
        <v>60</v>
      </c>
      <c r="O199" s="3" t="s">
        <v>148</v>
      </c>
      <c r="P199" s="4">
        <f t="shared" si="19"/>
        <v>0</v>
      </c>
    </row>
    <row r="200" spans="1:16" ht="30" x14ac:dyDescent="0.25">
      <c r="A200" s="3" t="s">
        <v>125</v>
      </c>
      <c r="B200" s="3" t="s">
        <v>128</v>
      </c>
      <c r="C200" s="3" t="s">
        <v>75</v>
      </c>
      <c r="D200" s="3" t="s">
        <v>72</v>
      </c>
      <c r="E200" s="20">
        <v>240</v>
      </c>
      <c r="F200" s="3" t="s">
        <v>147</v>
      </c>
      <c r="G200" s="4">
        <v>140000</v>
      </c>
      <c r="H200" s="4">
        <v>100000</v>
      </c>
      <c r="I200" s="4">
        <f t="shared" si="15"/>
        <v>33600000</v>
      </c>
      <c r="J200" s="4">
        <f t="shared" si="16"/>
        <v>24000000</v>
      </c>
      <c r="K200" s="4">
        <v>84720000</v>
      </c>
      <c r="L200" s="4">
        <f t="shared" si="17"/>
        <v>57600000</v>
      </c>
      <c r="M200" s="4">
        <f t="shared" si="18"/>
        <v>27120000</v>
      </c>
      <c r="N200" s="3" t="s">
        <v>148</v>
      </c>
      <c r="O200" s="3" t="s">
        <v>148</v>
      </c>
      <c r="P200" s="4">
        <f t="shared" si="19"/>
        <v>0</v>
      </c>
    </row>
    <row r="201" spans="1:16" ht="30" x14ac:dyDescent="0.25">
      <c r="A201" s="3" t="s">
        <v>125</v>
      </c>
      <c r="B201" s="3" t="s">
        <v>128</v>
      </c>
      <c r="C201" s="3" t="s">
        <v>74</v>
      </c>
      <c r="D201" s="3" t="s">
        <v>72</v>
      </c>
      <c r="E201" s="20">
        <v>130</v>
      </c>
      <c r="F201" s="3" t="s">
        <v>147</v>
      </c>
      <c r="G201" s="4">
        <v>120000</v>
      </c>
      <c r="H201" s="4">
        <v>100000</v>
      </c>
      <c r="I201" s="4">
        <f t="shared" si="15"/>
        <v>15600000</v>
      </c>
      <c r="J201" s="4">
        <f t="shared" si="16"/>
        <v>13000000</v>
      </c>
      <c r="K201" s="4">
        <v>36530000</v>
      </c>
      <c r="L201" s="4">
        <f t="shared" si="17"/>
        <v>28600000</v>
      </c>
      <c r="M201" s="4">
        <f t="shared" si="18"/>
        <v>7930000</v>
      </c>
      <c r="N201" s="3" t="s">
        <v>148</v>
      </c>
      <c r="O201" s="3" t="s">
        <v>148</v>
      </c>
      <c r="P201" s="4">
        <f t="shared" si="19"/>
        <v>0</v>
      </c>
    </row>
    <row r="202" spans="1:16" ht="30" x14ac:dyDescent="0.25">
      <c r="A202" s="3" t="s">
        <v>125</v>
      </c>
      <c r="B202" s="3" t="s">
        <v>128</v>
      </c>
      <c r="C202" s="3" t="s">
        <v>162</v>
      </c>
      <c r="D202" s="3" t="s">
        <v>64</v>
      </c>
      <c r="E202" s="20">
        <v>15</v>
      </c>
      <c r="F202" s="3" t="s">
        <v>147</v>
      </c>
      <c r="G202" s="4">
        <v>53000</v>
      </c>
      <c r="H202" s="4">
        <v>25000</v>
      </c>
      <c r="I202" s="4">
        <f t="shared" si="15"/>
        <v>795000</v>
      </c>
      <c r="J202" s="4">
        <f t="shared" si="16"/>
        <v>375000</v>
      </c>
      <c r="K202" s="4">
        <v>1881000</v>
      </c>
      <c r="L202" s="4">
        <f t="shared" si="17"/>
        <v>1170000</v>
      </c>
      <c r="M202" s="4">
        <f t="shared" si="18"/>
        <v>711000</v>
      </c>
      <c r="N202" s="3" t="s">
        <v>60</v>
      </c>
      <c r="O202" s="3" t="s">
        <v>148</v>
      </c>
      <c r="P202" s="4">
        <f t="shared" si="19"/>
        <v>0</v>
      </c>
    </row>
    <row r="203" spans="1:16" ht="30" x14ac:dyDescent="0.25">
      <c r="A203" s="3" t="s">
        <v>125</v>
      </c>
      <c r="B203" s="3" t="s">
        <v>128</v>
      </c>
      <c r="C203" s="3" t="s">
        <v>163</v>
      </c>
      <c r="D203" s="3" t="s">
        <v>64</v>
      </c>
      <c r="E203" s="20">
        <v>50</v>
      </c>
      <c r="F203" s="3" t="s">
        <v>147</v>
      </c>
      <c r="G203" s="4">
        <v>42000</v>
      </c>
      <c r="H203" s="4">
        <v>25000</v>
      </c>
      <c r="I203" s="4">
        <f t="shared" si="15"/>
        <v>2100000</v>
      </c>
      <c r="J203" s="4">
        <f t="shared" si="16"/>
        <v>1250000</v>
      </c>
      <c r="K203" s="4">
        <v>4400000</v>
      </c>
      <c r="L203" s="4">
        <f t="shared" si="17"/>
        <v>3350000</v>
      </c>
      <c r="M203" s="4">
        <f t="shared" si="18"/>
        <v>1050000</v>
      </c>
      <c r="N203" s="3" t="s">
        <v>60</v>
      </c>
      <c r="O203" s="3" t="s">
        <v>148</v>
      </c>
      <c r="P203" s="4">
        <f t="shared" si="19"/>
        <v>0</v>
      </c>
    </row>
    <row r="204" spans="1:16" ht="30" x14ac:dyDescent="0.25">
      <c r="A204" s="3" t="s">
        <v>125</v>
      </c>
      <c r="B204" s="3" t="s">
        <v>128</v>
      </c>
      <c r="C204" s="3" t="s">
        <v>211</v>
      </c>
      <c r="D204" s="3" t="s">
        <v>64</v>
      </c>
      <c r="E204" s="20">
        <v>10</v>
      </c>
      <c r="F204" s="3" t="s">
        <v>147</v>
      </c>
      <c r="G204" s="4">
        <v>190000</v>
      </c>
      <c r="H204" s="4">
        <v>50000</v>
      </c>
      <c r="I204" s="4">
        <f t="shared" si="15"/>
        <v>1900000</v>
      </c>
      <c r="J204" s="4">
        <f t="shared" si="16"/>
        <v>500000</v>
      </c>
      <c r="K204" s="4">
        <v>2250000</v>
      </c>
      <c r="L204" s="4">
        <f t="shared" si="17"/>
        <v>2400000</v>
      </c>
      <c r="M204" s="4">
        <f t="shared" si="18"/>
        <v>-150000</v>
      </c>
      <c r="N204" s="3" t="s">
        <v>60</v>
      </c>
      <c r="O204" s="3" t="s">
        <v>148</v>
      </c>
      <c r="P204" s="4">
        <f t="shared" si="19"/>
        <v>0</v>
      </c>
    </row>
    <row r="205" spans="1:16" ht="30" x14ac:dyDescent="0.25">
      <c r="A205" s="3" t="s">
        <v>125</v>
      </c>
      <c r="B205" s="3" t="s">
        <v>128</v>
      </c>
      <c r="C205" s="3" t="s">
        <v>165</v>
      </c>
      <c r="D205" s="3" t="s">
        <v>64</v>
      </c>
      <c r="E205" s="20">
        <v>10</v>
      </c>
      <c r="F205" s="3" t="s">
        <v>147</v>
      </c>
      <c r="G205" s="4">
        <v>75000</v>
      </c>
      <c r="H205" s="4">
        <v>25000</v>
      </c>
      <c r="I205" s="4">
        <f t="shared" si="15"/>
        <v>750000</v>
      </c>
      <c r="J205" s="4">
        <f t="shared" si="16"/>
        <v>250000</v>
      </c>
      <c r="K205" s="4">
        <v>1610000</v>
      </c>
      <c r="L205" s="4">
        <f t="shared" si="17"/>
        <v>1000000</v>
      </c>
      <c r="M205" s="4">
        <f t="shared" si="18"/>
        <v>610000</v>
      </c>
      <c r="N205" s="3" t="s">
        <v>60</v>
      </c>
      <c r="O205" s="3" t="s">
        <v>148</v>
      </c>
      <c r="P205" s="4">
        <f t="shared" si="19"/>
        <v>0</v>
      </c>
    </row>
    <row r="206" spans="1:16" ht="30" x14ac:dyDescent="0.25">
      <c r="A206" s="3" t="s">
        <v>125</v>
      </c>
      <c r="B206" s="3" t="s">
        <v>128</v>
      </c>
      <c r="C206" s="3" t="s">
        <v>182</v>
      </c>
      <c r="D206" s="3" t="s">
        <v>176</v>
      </c>
      <c r="E206" s="20">
        <v>18</v>
      </c>
      <c r="F206" s="3" t="s">
        <v>147</v>
      </c>
      <c r="G206" s="4">
        <v>368000</v>
      </c>
      <c r="H206" s="4">
        <v>400000</v>
      </c>
      <c r="I206" s="4">
        <f t="shared" si="15"/>
        <v>6624000</v>
      </c>
      <c r="J206" s="4">
        <f t="shared" si="16"/>
        <v>7200000</v>
      </c>
      <c r="K206" s="4">
        <v>18270000</v>
      </c>
      <c r="L206" s="4">
        <f t="shared" si="17"/>
        <v>13824000</v>
      </c>
      <c r="M206" s="4">
        <f t="shared" si="18"/>
        <v>4446000</v>
      </c>
      <c r="N206" s="3" t="s">
        <v>60</v>
      </c>
      <c r="O206" s="3" t="s">
        <v>148</v>
      </c>
      <c r="P206" s="4">
        <f t="shared" si="19"/>
        <v>0</v>
      </c>
    </row>
    <row r="207" spans="1:16" ht="30" x14ac:dyDescent="0.25">
      <c r="A207" s="3" t="s">
        <v>125</v>
      </c>
      <c r="B207" s="3" t="s">
        <v>128</v>
      </c>
      <c r="C207" s="3" t="s">
        <v>183</v>
      </c>
      <c r="D207" s="3" t="s">
        <v>184</v>
      </c>
      <c r="E207" s="20">
        <v>18</v>
      </c>
      <c r="F207" s="3" t="s">
        <v>147</v>
      </c>
      <c r="G207" s="4">
        <v>600000</v>
      </c>
      <c r="H207" s="21">
        <v>67692</v>
      </c>
      <c r="I207" s="4">
        <f t="shared" si="15"/>
        <v>10800000</v>
      </c>
      <c r="J207" s="4">
        <f t="shared" si="16"/>
        <v>1218456</v>
      </c>
      <c r="K207" s="4">
        <v>14976000</v>
      </c>
      <c r="L207" s="4">
        <f t="shared" si="17"/>
        <v>12018456</v>
      </c>
      <c r="M207" s="4">
        <f t="shared" si="18"/>
        <v>2957544</v>
      </c>
      <c r="N207" s="3" t="s">
        <v>148</v>
      </c>
      <c r="O207" s="22" t="s">
        <v>185</v>
      </c>
      <c r="P207" s="4">
        <f t="shared" si="19"/>
        <v>1218456</v>
      </c>
    </row>
    <row r="208" spans="1:16" ht="30" x14ac:dyDescent="0.25">
      <c r="A208" s="3" t="s">
        <v>125</v>
      </c>
      <c r="B208" s="3" t="s">
        <v>128</v>
      </c>
      <c r="C208" s="3" t="s">
        <v>186</v>
      </c>
      <c r="D208" s="3" t="s">
        <v>64</v>
      </c>
      <c r="E208" s="20">
        <v>18</v>
      </c>
      <c r="F208" s="3" t="s">
        <v>147</v>
      </c>
      <c r="G208" s="4">
        <v>166000</v>
      </c>
      <c r="H208" s="4">
        <v>100000</v>
      </c>
      <c r="I208" s="4">
        <f t="shared" si="15"/>
        <v>2988000</v>
      </c>
      <c r="J208" s="4">
        <f t="shared" si="16"/>
        <v>1800000</v>
      </c>
      <c r="K208" s="4">
        <v>9000000</v>
      </c>
      <c r="L208" s="4">
        <f t="shared" si="17"/>
        <v>4788000</v>
      </c>
      <c r="M208" s="4">
        <f t="shared" si="18"/>
        <v>4212000</v>
      </c>
      <c r="N208" s="3" t="s">
        <v>148</v>
      </c>
      <c r="O208" s="3" t="s">
        <v>148</v>
      </c>
      <c r="P208" s="4">
        <f t="shared" si="19"/>
        <v>0</v>
      </c>
    </row>
    <row r="209" spans="1:16" ht="30" x14ac:dyDescent="0.25">
      <c r="A209" s="3" t="s">
        <v>125</v>
      </c>
      <c r="B209" s="3" t="s">
        <v>128</v>
      </c>
      <c r="C209" s="3" t="s">
        <v>79</v>
      </c>
      <c r="D209" s="3" t="s">
        <v>78</v>
      </c>
      <c r="E209" s="20">
        <v>1</v>
      </c>
      <c r="F209" s="3" t="s">
        <v>147</v>
      </c>
      <c r="G209" s="4">
        <v>2205000</v>
      </c>
      <c r="H209" s="4">
        <v>150000</v>
      </c>
      <c r="I209" s="4">
        <f t="shared" si="15"/>
        <v>2205000</v>
      </c>
      <c r="J209" s="4">
        <f t="shared" si="16"/>
        <v>150000</v>
      </c>
      <c r="K209" s="4">
        <v>4188000</v>
      </c>
      <c r="L209" s="4">
        <f t="shared" si="17"/>
        <v>2355000</v>
      </c>
      <c r="M209" s="4">
        <f t="shared" si="18"/>
        <v>1833000</v>
      </c>
      <c r="N209" s="3" t="s">
        <v>60</v>
      </c>
      <c r="O209" s="3" t="s">
        <v>148</v>
      </c>
      <c r="P209" s="4">
        <f t="shared" si="19"/>
        <v>0</v>
      </c>
    </row>
    <row r="210" spans="1:16" ht="30" x14ac:dyDescent="0.25">
      <c r="A210" s="3" t="s">
        <v>125</v>
      </c>
      <c r="B210" s="3" t="s">
        <v>128</v>
      </c>
      <c r="C210" s="3" t="s">
        <v>69</v>
      </c>
      <c r="D210" s="3" t="s">
        <v>64</v>
      </c>
      <c r="E210" s="20">
        <v>5</v>
      </c>
      <c r="F210" s="3" t="s">
        <v>178</v>
      </c>
      <c r="G210" s="4">
        <v>137000</v>
      </c>
      <c r="H210" s="21">
        <v>31538</v>
      </c>
      <c r="I210" s="4">
        <f t="shared" si="15"/>
        <v>685000</v>
      </c>
      <c r="J210" s="4">
        <f t="shared" si="16"/>
        <v>157690</v>
      </c>
      <c r="K210" s="4">
        <v>1305000</v>
      </c>
      <c r="L210" s="4">
        <f t="shared" si="17"/>
        <v>842690</v>
      </c>
      <c r="M210" s="4">
        <f t="shared" si="18"/>
        <v>462310</v>
      </c>
      <c r="N210" s="3" t="s">
        <v>60</v>
      </c>
      <c r="O210" s="22" t="s">
        <v>185</v>
      </c>
      <c r="P210" s="4">
        <f t="shared" si="19"/>
        <v>157690</v>
      </c>
    </row>
    <row r="211" spans="1:16" ht="30" x14ac:dyDescent="0.25">
      <c r="A211" s="3" t="s">
        <v>125</v>
      </c>
      <c r="B211" s="3" t="s">
        <v>128</v>
      </c>
      <c r="C211" s="3" t="s">
        <v>188</v>
      </c>
      <c r="D211" s="3" t="s">
        <v>189</v>
      </c>
      <c r="E211" s="20">
        <v>10</v>
      </c>
      <c r="F211" s="3" t="s">
        <v>178</v>
      </c>
      <c r="G211" s="4">
        <v>652000</v>
      </c>
      <c r="H211" s="21">
        <v>10769</v>
      </c>
      <c r="I211" s="4">
        <f t="shared" si="15"/>
        <v>6520000</v>
      </c>
      <c r="J211" s="4">
        <f t="shared" si="16"/>
        <v>107690</v>
      </c>
      <c r="K211" s="4">
        <v>7580000</v>
      </c>
      <c r="L211" s="4">
        <f t="shared" si="17"/>
        <v>6627690</v>
      </c>
      <c r="M211" s="4">
        <f t="shared" si="18"/>
        <v>952310</v>
      </c>
      <c r="N211" s="3" t="s">
        <v>60</v>
      </c>
      <c r="O211" s="22" t="s">
        <v>185</v>
      </c>
      <c r="P211" s="4">
        <f t="shared" si="19"/>
        <v>107690</v>
      </c>
    </row>
    <row r="212" spans="1:16" ht="30" x14ac:dyDescent="0.25">
      <c r="A212" s="3" t="s">
        <v>125</v>
      </c>
      <c r="B212" s="3" t="s">
        <v>128</v>
      </c>
      <c r="C212" s="3" t="s">
        <v>62</v>
      </c>
      <c r="D212" s="3" t="s">
        <v>64</v>
      </c>
      <c r="E212" s="20">
        <v>6</v>
      </c>
      <c r="F212" s="3" t="s">
        <v>178</v>
      </c>
      <c r="G212" s="4">
        <v>442000</v>
      </c>
      <c r="H212" s="4">
        <v>50000</v>
      </c>
      <c r="I212" s="4">
        <f t="shared" si="15"/>
        <v>2652000</v>
      </c>
      <c r="J212" s="4">
        <f t="shared" si="16"/>
        <v>300000</v>
      </c>
      <c r="K212" s="4">
        <v>3186000</v>
      </c>
      <c r="L212" s="4">
        <f t="shared" si="17"/>
        <v>2952000</v>
      </c>
      <c r="M212" s="4">
        <f t="shared" si="18"/>
        <v>234000</v>
      </c>
      <c r="N212" s="3" t="s">
        <v>60</v>
      </c>
      <c r="O212" s="3" t="s">
        <v>148</v>
      </c>
      <c r="P212" s="4">
        <f t="shared" si="19"/>
        <v>0</v>
      </c>
    </row>
    <row r="213" spans="1:16" ht="30" x14ac:dyDescent="0.25">
      <c r="A213" s="3" t="s">
        <v>125</v>
      </c>
      <c r="B213" s="3" t="s">
        <v>128</v>
      </c>
      <c r="C213" s="3" t="s">
        <v>191</v>
      </c>
      <c r="D213" s="3" t="s">
        <v>159</v>
      </c>
      <c r="E213" s="20">
        <v>1</v>
      </c>
      <c r="F213" s="3" t="s">
        <v>158</v>
      </c>
      <c r="G213" s="4">
        <v>4423950</v>
      </c>
      <c r="H213" s="4">
        <v>2540442</v>
      </c>
      <c r="I213" s="4">
        <f t="shared" si="15"/>
        <v>4423950</v>
      </c>
      <c r="J213" s="4">
        <f t="shared" si="16"/>
        <v>2540442</v>
      </c>
      <c r="K213" s="4">
        <v>9669800</v>
      </c>
      <c r="L213" s="4">
        <f t="shared" si="17"/>
        <v>6964392</v>
      </c>
      <c r="M213" s="4">
        <f t="shared" si="18"/>
        <v>2705408</v>
      </c>
      <c r="N213" s="3" t="s">
        <v>223</v>
      </c>
      <c r="O213" s="3" t="s">
        <v>223</v>
      </c>
      <c r="P213" s="4">
        <f t="shared" si="19"/>
        <v>0</v>
      </c>
    </row>
    <row r="214" spans="1:16" ht="30" x14ac:dyDescent="0.25">
      <c r="A214" s="3" t="s">
        <v>125</v>
      </c>
      <c r="B214" s="3" t="s">
        <v>128</v>
      </c>
      <c r="C214" s="3" t="s">
        <v>201</v>
      </c>
      <c r="D214" s="3" t="s">
        <v>202</v>
      </c>
      <c r="E214" s="20">
        <v>113.3333333333333</v>
      </c>
      <c r="F214" s="3" t="s">
        <v>197</v>
      </c>
      <c r="G214" s="4">
        <v>0</v>
      </c>
      <c r="H214" s="4">
        <v>20000</v>
      </c>
      <c r="I214" s="4">
        <f t="shared" si="15"/>
        <v>0</v>
      </c>
      <c r="J214" s="4">
        <f t="shared" si="16"/>
        <v>2266666.666666666</v>
      </c>
      <c r="K214" s="4">
        <v>3513333</v>
      </c>
      <c r="L214" s="4">
        <f t="shared" si="17"/>
        <v>2266666.666666666</v>
      </c>
      <c r="M214" s="4">
        <f t="shared" si="18"/>
        <v>1246666.333333334</v>
      </c>
      <c r="N214" s="3" t="s">
        <v>203</v>
      </c>
      <c r="O214" s="3" t="s">
        <v>148</v>
      </c>
      <c r="P214" s="4">
        <f t="shared" si="19"/>
        <v>0</v>
      </c>
    </row>
    <row r="215" spans="1:16" ht="30" x14ac:dyDescent="0.25">
      <c r="A215" s="3" t="s">
        <v>125</v>
      </c>
      <c r="B215" s="3" t="s">
        <v>128</v>
      </c>
      <c r="C215" s="3" t="s">
        <v>204</v>
      </c>
      <c r="D215" s="3" t="s">
        <v>202</v>
      </c>
      <c r="E215" s="20">
        <v>113.3333333333333</v>
      </c>
      <c r="F215" s="3" t="s">
        <v>197</v>
      </c>
      <c r="G215" s="4">
        <v>0</v>
      </c>
      <c r="H215" s="4">
        <v>20000</v>
      </c>
      <c r="I215" s="4">
        <f t="shared" si="15"/>
        <v>0</v>
      </c>
      <c r="J215" s="4">
        <f t="shared" si="16"/>
        <v>2266666.666666666</v>
      </c>
      <c r="K215" s="4">
        <v>3966667</v>
      </c>
      <c r="L215" s="4">
        <f t="shared" si="17"/>
        <v>2266666.666666666</v>
      </c>
      <c r="M215" s="4">
        <f t="shared" si="18"/>
        <v>1700000.333333334</v>
      </c>
      <c r="N215" s="3" t="s">
        <v>203</v>
      </c>
      <c r="O215" s="3" t="s">
        <v>148</v>
      </c>
      <c r="P215" s="4">
        <f t="shared" si="19"/>
        <v>0</v>
      </c>
    </row>
    <row r="216" spans="1:16" ht="30" x14ac:dyDescent="0.25">
      <c r="A216" s="3" t="s">
        <v>125</v>
      </c>
      <c r="B216" s="3" t="s">
        <v>128</v>
      </c>
      <c r="C216" s="3" t="s">
        <v>219</v>
      </c>
      <c r="D216" s="3" t="s">
        <v>64</v>
      </c>
      <c r="E216" s="20">
        <v>4</v>
      </c>
      <c r="F216" s="3" t="s">
        <v>147</v>
      </c>
      <c r="G216" s="4">
        <v>158000</v>
      </c>
      <c r="H216" s="4">
        <v>100000</v>
      </c>
      <c r="I216" s="4">
        <f t="shared" si="15"/>
        <v>632000</v>
      </c>
      <c r="J216" s="4">
        <f t="shared" si="16"/>
        <v>400000</v>
      </c>
      <c r="K216" s="4">
        <v>1800000</v>
      </c>
      <c r="L216" s="4">
        <f t="shared" si="17"/>
        <v>1032000</v>
      </c>
      <c r="M216" s="4">
        <f t="shared" si="18"/>
        <v>768000</v>
      </c>
      <c r="N216" s="3" t="s">
        <v>60</v>
      </c>
      <c r="O216" s="3" t="s">
        <v>148</v>
      </c>
      <c r="P216" s="4">
        <f t="shared" si="19"/>
        <v>0</v>
      </c>
    </row>
    <row r="217" spans="1:16" ht="30" x14ac:dyDescent="0.25">
      <c r="A217" s="3" t="s">
        <v>125</v>
      </c>
      <c r="B217" s="3" t="s">
        <v>128</v>
      </c>
      <c r="C217" s="3" t="s">
        <v>208</v>
      </c>
      <c r="D217" s="3" t="s">
        <v>64</v>
      </c>
      <c r="E217" s="20">
        <v>22</v>
      </c>
      <c r="F217" s="3" t="s">
        <v>147</v>
      </c>
      <c r="G217" s="4">
        <v>190000</v>
      </c>
      <c r="H217" s="4">
        <v>100000</v>
      </c>
      <c r="I217" s="4">
        <f t="shared" si="15"/>
        <v>4180000</v>
      </c>
      <c r="J217" s="4">
        <f t="shared" si="16"/>
        <v>2200000</v>
      </c>
      <c r="K217" s="4">
        <v>10560000</v>
      </c>
      <c r="L217" s="4">
        <f t="shared" si="17"/>
        <v>6380000</v>
      </c>
      <c r="M217" s="4">
        <f t="shared" si="18"/>
        <v>4180000</v>
      </c>
      <c r="N217" s="3" t="s">
        <v>60</v>
      </c>
      <c r="O217" s="3" t="s">
        <v>148</v>
      </c>
      <c r="P217" s="4">
        <f t="shared" si="19"/>
        <v>0</v>
      </c>
    </row>
    <row r="218" spans="1:16" ht="30" x14ac:dyDescent="0.25">
      <c r="A218" s="3" t="s">
        <v>125</v>
      </c>
      <c r="B218" s="3" t="s">
        <v>128</v>
      </c>
      <c r="C218" s="3" t="s">
        <v>220</v>
      </c>
      <c r="D218" s="3" t="s">
        <v>194</v>
      </c>
      <c r="E218" s="20">
        <v>800</v>
      </c>
      <c r="F218" s="3" t="s">
        <v>147</v>
      </c>
      <c r="G218" s="4">
        <v>7500</v>
      </c>
      <c r="H218" s="4">
        <v>5000</v>
      </c>
      <c r="I218" s="4">
        <f t="shared" si="15"/>
        <v>6000000</v>
      </c>
      <c r="J218" s="4">
        <f t="shared" si="16"/>
        <v>4000000</v>
      </c>
      <c r="K218" s="4">
        <v>18400000</v>
      </c>
      <c r="L218" s="4">
        <f t="shared" si="17"/>
        <v>10000000</v>
      </c>
      <c r="M218" s="4">
        <f t="shared" si="18"/>
        <v>8400000</v>
      </c>
      <c r="N218" s="3" t="s">
        <v>148</v>
      </c>
      <c r="O218" s="3" t="s">
        <v>148</v>
      </c>
      <c r="P218" s="4">
        <f t="shared" si="19"/>
        <v>0</v>
      </c>
    </row>
    <row r="219" spans="1:16" ht="30" x14ac:dyDescent="0.25">
      <c r="A219" s="3" t="s">
        <v>125</v>
      </c>
      <c r="B219" s="3" t="s">
        <v>128</v>
      </c>
      <c r="C219" s="3" t="s">
        <v>155</v>
      </c>
      <c r="D219" s="3" t="s">
        <v>72</v>
      </c>
      <c r="E219" s="20">
        <v>800</v>
      </c>
      <c r="F219" s="3" t="s">
        <v>147</v>
      </c>
      <c r="G219" s="4">
        <v>6000</v>
      </c>
      <c r="H219" s="4">
        <v>20000</v>
      </c>
      <c r="I219" s="4">
        <f t="shared" si="15"/>
        <v>4800000</v>
      </c>
      <c r="J219" s="4">
        <f t="shared" si="16"/>
        <v>16000000</v>
      </c>
      <c r="K219" s="4">
        <v>33600000</v>
      </c>
      <c r="L219" s="4">
        <f t="shared" si="17"/>
        <v>20800000</v>
      </c>
      <c r="M219" s="4">
        <f t="shared" si="18"/>
        <v>12800000</v>
      </c>
      <c r="N219" s="3" t="s">
        <v>148</v>
      </c>
      <c r="O219" s="3" t="s">
        <v>148</v>
      </c>
      <c r="P219" s="4">
        <f t="shared" si="19"/>
        <v>0</v>
      </c>
    </row>
    <row r="220" spans="1:16" ht="30" x14ac:dyDescent="0.25">
      <c r="A220" s="3" t="s">
        <v>125</v>
      </c>
      <c r="B220" s="3" t="s">
        <v>128</v>
      </c>
      <c r="C220" s="3" t="s">
        <v>224</v>
      </c>
      <c r="D220" s="3" t="s">
        <v>200</v>
      </c>
      <c r="E220" s="20">
        <v>4</v>
      </c>
      <c r="F220" s="3" t="s">
        <v>197</v>
      </c>
      <c r="G220" s="4">
        <v>1000000</v>
      </c>
      <c r="H220" s="4">
        <v>5000000</v>
      </c>
      <c r="I220" s="4">
        <f t="shared" si="15"/>
        <v>4000000</v>
      </c>
      <c r="J220" s="4">
        <f t="shared" si="16"/>
        <v>20000000</v>
      </c>
      <c r="K220" s="4">
        <v>32000000</v>
      </c>
      <c r="L220" s="4">
        <f t="shared" si="17"/>
        <v>24000000</v>
      </c>
      <c r="M220" s="4">
        <f t="shared" si="18"/>
        <v>8000000</v>
      </c>
      <c r="N220" s="3" t="s">
        <v>148</v>
      </c>
      <c r="O220" s="3" t="s">
        <v>148</v>
      </c>
      <c r="P220" s="4">
        <f t="shared" si="19"/>
        <v>0</v>
      </c>
    </row>
    <row r="221" spans="1:16" ht="30" x14ac:dyDescent="0.25">
      <c r="A221" s="3" t="s">
        <v>125</v>
      </c>
      <c r="B221" s="3" t="s">
        <v>129</v>
      </c>
      <c r="C221" s="3" t="s">
        <v>221</v>
      </c>
      <c r="D221" s="3" t="s">
        <v>64</v>
      </c>
      <c r="E221" s="20">
        <v>1</v>
      </c>
      <c r="F221" s="3" t="s">
        <v>147</v>
      </c>
      <c r="G221" s="4">
        <v>8600000</v>
      </c>
      <c r="H221" s="4">
        <v>1500000</v>
      </c>
      <c r="I221" s="4">
        <f t="shared" si="15"/>
        <v>8600000</v>
      </c>
      <c r="J221" s="4">
        <f t="shared" si="16"/>
        <v>1500000</v>
      </c>
      <c r="K221" s="4">
        <v>14207000</v>
      </c>
      <c r="L221" s="4">
        <f t="shared" si="17"/>
        <v>10100000</v>
      </c>
      <c r="M221" s="4">
        <f t="shared" si="18"/>
        <v>4107000</v>
      </c>
      <c r="N221" s="3" t="s">
        <v>148</v>
      </c>
      <c r="O221" s="3" t="s">
        <v>148</v>
      </c>
      <c r="P221" s="4">
        <f t="shared" si="19"/>
        <v>0</v>
      </c>
    </row>
    <row r="222" spans="1:16" ht="30" x14ac:dyDescent="0.25">
      <c r="A222" s="3" t="s">
        <v>125</v>
      </c>
      <c r="B222" s="3" t="s">
        <v>129</v>
      </c>
      <c r="C222" s="3" t="s">
        <v>149</v>
      </c>
      <c r="D222" s="3" t="s">
        <v>64</v>
      </c>
      <c r="E222" s="20">
        <v>11</v>
      </c>
      <c r="F222" s="3" t="s">
        <v>147</v>
      </c>
      <c r="G222" s="4">
        <v>252000</v>
      </c>
      <c r="H222" s="4">
        <v>100000</v>
      </c>
      <c r="I222" s="4">
        <f t="shared" si="15"/>
        <v>2772000</v>
      </c>
      <c r="J222" s="4">
        <f t="shared" si="16"/>
        <v>1100000</v>
      </c>
      <c r="K222" s="4">
        <v>9075000</v>
      </c>
      <c r="L222" s="4">
        <f t="shared" si="17"/>
        <v>3872000</v>
      </c>
      <c r="M222" s="4">
        <f t="shared" si="18"/>
        <v>5203000</v>
      </c>
      <c r="N222" s="3" t="s">
        <v>60</v>
      </c>
      <c r="O222" s="3" t="s">
        <v>148</v>
      </c>
      <c r="P222" s="4">
        <f t="shared" si="19"/>
        <v>0</v>
      </c>
    </row>
    <row r="223" spans="1:16" ht="30" x14ac:dyDescent="0.25">
      <c r="A223" s="3" t="s">
        <v>125</v>
      </c>
      <c r="B223" s="3" t="s">
        <v>129</v>
      </c>
      <c r="C223" s="3" t="s">
        <v>150</v>
      </c>
      <c r="D223" s="3" t="s">
        <v>64</v>
      </c>
      <c r="E223" s="20">
        <v>11</v>
      </c>
      <c r="F223" s="3" t="s">
        <v>147</v>
      </c>
      <c r="G223" s="4">
        <v>205000</v>
      </c>
      <c r="H223" s="4">
        <v>100000</v>
      </c>
      <c r="I223" s="4">
        <f t="shared" si="15"/>
        <v>2255000</v>
      </c>
      <c r="J223" s="4">
        <f t="shared" si="16"/>
        <v>1100000</v>
      </c>
      <c r="K223" s="4">
        <v>5841000</v>
      </c>
      <c r="L223" s="4">
        <f t="shared" si="17"/>
        <v>3355000</v>
      </c>
      <c r="M223" s="4">
        <f t="shared" si="18"/>
        <v>2486000</v>
      </c>
      <c r="N223" s="3" t="s">
        <v>60</v>
      </c>
      <c r="O223" s="3" t="s">
        <v>148</v>
      </c>
      <c r="P223" s="4">
        <f t="shared" si="19"/>
        <v>0</v>
      </c>
    </row>
    <row r="224" spans="1:16" ht="30" x14ac:dyDescent="0.25">
      <c r="A224" s="3" t="s">
        <v>125</v>
      </c>
      <c r="B224" s="3" t="s">
        <v>129</v>
      </c>
      <c r="C224" s="3" t="s">
        <v>151</v>
      </c>
      <c r="D224" s="3" t="s">
        <v>64</v>
      </c>
      <c r="E224" s="20">
        <v>121</v>
      </c>
      <c r="F224" s="3" t="s">
        <v>147</v>
      </c>
      <c r="G224" s="4">
        <v>242000</v>
      </c>
      <c r="H224" s="4">
        <v>100000</v>
      </c>
      <c r="I224" s="4">
        <f t="shared" si="15"/>
        <v>29282000</v>
      </c>
      <c r="J224" s="4">
        <f t="shared" si="16"/>
        <v>12100000</v>
      </c>
      <c r="K224" s="4">
        <v>67881000</v>
      </c>
      <c r="L224" s="4">
        <f t="shared" si="17"/>
        <v>41382000</v>
      </c>
      <c r="M224" s="4">
        <f t="shared" si="18"/>
        <v>26499000</v>
      </c>
      <c r="N224" s="3" t="s">
        <v>60</v>
      </c>
      <c r="O224" s="3" t="s">
        <v>148</v>
      </c>
      <c r="P224" s="4">
        <f t="shared" si="19"/>
        <v>0</v>
      </c>
    </row>
    <row r="225" spans="1:16" ht="30" x14ac:dyDescent="0.25">
      <c r="A225" s="3" t="s">
        <v>125</v>
      </c>
      <c r="B225" s="3" t="s">
        <v>129</v>
      </c>
      <c r="C225" s="3" t="s">
        <v>77</v>
      </c>
      <c r="D225" s="3" t="s">
        <v>64</v>
      </c>
      <c r="E225" s="20">
        <v>30</v>
      </c>
      <c r="F225" s="3" t="s">
        <v>147</v>
      </c>
      <c r="G225" s="4">
        <v>116000</v>
      </c>
      <c r="H225" s="4">
        <v>100000</v>
      </c>
      <c r="I225" s="4">
        <f t="shared" si="15"/>
        <v>3480000</v>
      </c>
      <c r="J225" s="4">
        <f t="shared" si="16"/>
        <v>3000000</v>
      </c>
      <c r="K225" s="4">
        <v>5430000</v>
      </c>
      <c r="L225" s="4">
        <f t="shared" si="17"/>
        <v>6480000</v>
      </c>
      <c r="M225" s="4">
        <f t="shared" si="18"/>
        <v>-1050000</v>
      </c>
      <c r="N225" s="3" t="s">
        <v>60</v>
      </c>
      <c r="O225" s="3" t="s">
        <v>148</v>
      </c>
      <c r="P225" s="4">
        <f t="shared" si="19"/>
        <v>0</v>
      </c>
    </row>
    <row r="226" spans="1:16" ht="30" x14ac:dyDescent="0.25">
      <c r="A226" s="3" t="s">
        <v>125</v>
      </c>
      <c r="B226" s="3" t="s">
        <v>129</v>
      </c>
      <c r="C226" s="3" t="s">
        <v>153</v>
      </c>
      <c r="D226" s="3" t="s">
        <v>72</v>
      </c>
      <c r="E226" s="20">
        <v>2500</v>
      </c>
      <c r="F226" s="3" t="s">
        <v>147</v>
      </c>
      <c r="G226" s="4">
        <v>5000</v>
      </c>
      <c r="H226" s="4">
        <v>5000</v>
      </c>
      <c r="I226" s="4">
        <f t="shared" si="15"/>
        <v>12500000</v>
      </c>
      <c r="J226" s="4">
        <f t="shared" si="16"/>
        <v>12500000</v>
      </c>
      <c r="K226" s="4">
        <v>55000000</v>
      </c>
      <c r="L226" s="4">
        <f t="shared" si="17"/>
        <v>25000000</v>
      </c>
      <c r="M226" s="4">
        <f t="shared" si="18"/>
        <v>30000000</v>
      </c>
      <c r="N226" s="3" t="s">
        <v>148</v>
      </c>
      <c r="O226" s="3" t="s">
        <v>148</v>
      </c>
      <c r="P226" s="4">
        <f t="shared" si="19"/>
        <v>0</v>
      </c>
    </row>
    <row r="227" spans="1:16" ht="30" x14ac:dyDescent="0.25">
      <c r="A227" s="3" t="s">
        <v>125</v>
      </c>
      <c r="B227" s="3" t="s">
        <v>129</v>
      </c>
      <c r="C227" s="3" t="s">
        <v>154</v>
      </c>
      <c r="D227" s="3" t="s">
        <v>72</v>
      </c>
      <c r="E227" s="20">
        <v>100</v>
      </c>
      <c r="F227" s="3" t="s">
        <v>147</v>
      </c>
      <c r="G227" s="4">
        <v>7500</v>
      </c>
      <c r="H227" s="4">
        <v>5000</v>
      </c>
      <c r="I227" s="4">
        <f t="shared" si="15"/>
        <v>750000</v>
      </c>
      <c r="J227" s="4">
        <f t="shared" si="16"/>
        <v>500000</v>
      </c>
      <c r="K227" s="4">
        <v>5500000</v>
      </c>
      <c r="L227" s="4">
        <f t="shared" si="17"/>
        <v>1250000</v>
      </c>
      <c r="M227" s="4">
        <f t="shared" si="18"/>
        <v>4250000</v>
      </c>
      <c r="N227" s="3" t="s">
        <v>148</v>
      </c>
      <c r="O227" s="3" t="s">
        <v>148</v>
      </c>
      <c r="P227" s="4">
        <f t="shared" si="19"/>
        <v>0</v>
      </c>
    </row>
    <row r="228" spans="1:16" ht="30" x14ac:dyDescent="0.25">
      <c r="A228" s="3" t="s">
        <v>125</v>
      </c>
      <c r="B228" s="3" t="s">
        <v>129</v>
      </c>
      <c r="C228" s="3" t="s">
        <v>155</v>
      </c>
      <c r="D228" s="3" t="s">
        <v>72</v>
      </c>
      <c r="E228" s="20">
        <v>1000</v>
      </c>
      <c r="F228" s="3" t="s">
        <v>147</v>
      </c>
      <c r="G228" s="4">
        <v>6000</v>
      </c>
      <c r="H228" s="4">
        <v>20000</v>
      </c>
      <c r="I228" s="4">
        <f t="shared" si="15"/>
        <v>6000000</v>
      </c>
      <c r="J228" s="4">
        <f t="shared" si="16"/>
        <v>20000000</v>
      </c>
      <c r="K228" s="4">
        <v>42000000</v>
      </c>
      <c r="L228" s="4">
        <f t="shared" si="17"/>
        <v>26000000</v>
      </c>
      <c r="M228" s="4">
        <f t="shared" si="18"/>
        <v>16000000</v>
      </c>
      <c r="N228" s="3" t="s">
        <v>148</v>
      </c>
      <c r="O228" s="3" t="s">
        <v>148</v>
      </c>
      <c r="P228" s="4">
        <f t="shared" si="19"/>
        <v>0</v>
      </c>
    </row>
    <row r="229" spans="1:16" ht="30" x14ac:dyDescent="0.25">
      <c r="A229" s="3" t="s">
        <v>125</v>
      </c>
      <c r="B229" s="3" t="s">
        <v>129</v>
      </c>
      <c r="C229" s="3" t="s">
        <v>87</v>
      </c>
      <c r="D229" s="3" t="s">
        <v>194</v>
      </c>
      <c r="E229" s="20">
        <v>200</v>
      </c>
      <c r="F229" s="3" t="s">
        <v>147</v>
      </c>
      <c r="G229" s="4">
        <v>15000</v>
      </c>
      <c r="H229" s="4">
        <v>10000</v>
      </c>
      <c r="I229" s="4">
        <f t="shared" si="15"/>
        <v>3000000</v>
      </c>
      <c r="J229" s="4">
        <f t="shared" si="16"/>
        <v>2000000</v>
      </c>
      <c r="K229" s="4">
        <v>7000000</v>
      </c>
      <c r="L229" s="4">
        <f t="shared" si="17"/>
        <v>5000000</v>
      </c>
      <c r="M229" s="4">
        <f t="shared" si="18"/>
        <v>2000000</v>
      </c>
      <c r="N229" s="3" t="s">
        <v>148</v>
      </c>
      <c r="O229" s="3" t="s">
        <v>148</v>
      </c>
      <c r="P229" s="4">
        <f t="shared" si="19"/>
        <v>0</v>
      </c>
    </row>
    <row r="230" spans="1:16" ht="30" x14ac:dyDescent="0.25">
      <c r="A230" s="3" t="s">
        <v>125</v>
      </c>
      <c r="B230" s="3" t="s">
        <v>129</v>
      </c>
      <c r="C230" s="3" t="s">
        <v>156</v>
      </c>
      <c r="D230" s="3" t="s">
        <v>157</v>
      </c>
      <c r="E230" s="20">
        <v>1</v>
      </c>
      <c r="F230" s="3" t="s">
        <v>147</v>
      </c>
      <c r="G230" s="4">
        <v>252000</v>
      </c>
      <c r="H230" s="4">
        <v>20000</v>
      </c>
      <c r="I230" s="4">
        <f t="shared" si="15"/>
        <v>252000</v>
      </c>
      <c r="J230" s="4">
        <f t="shared" si="16"/>
        <v>20000</v>
      </c>
      <c r="K230" s="4">
        <v>1350000</v>
      </c>
      <c r="L230" s="4">
        <f t="shared" si="17"/>
        <v>272000</v>
      </c>
      <c r="M230" s="4">
        <f t="shared" si="18"/>
        <v>1078000</v>
      </c>
      <c r="N230" s="3" t="s">
        <v>60</v>
      </c>
      <c r="O230" s="3" t="s">
        <v>148</v>
      </c>
      <c r="P230" s="4">
        <f t="shared" si="19"/>
        <v>0</v>
      </c>
    </row>
    <row r="231" spans="1:16" ht="30" x14ac:dyDescent="0.25">
      <c r="A231" s="3" t="s">
        <v>125</v>
      </c>
      <c r="B231" s="3" t="s">
        <v>129</v>
      </c>
      <c r="C231" s="3" t="s">
        <v>158</v>
      </c>
      <c r="D231" s="3" t="s">
        <v>159</v>
      </c>
      <c r="E231" s="20">
        <v>1</v>
      </c>
      <c r="F231" s="3" t="s">
        <v>158</v>
      </c>
      <c r="G231" s="4">
        <v>3444550</v>
      </c>
      <c r="H231" s="4">
        <v>2691000</v>
      </c>
      <c r="I231" s="4">
        <f t="shared" si="15"/>
        <v>3444550</v>
      </c>
      <c r="J231" s="4">
        <f t="shared" si="16"/>
        <v>2691000</v>
      </c>
      <c r="K231" s="4">
        <v>10664200</v>
      </c>
      <c r="L231" s="4">
        <f t="shared" si="17"/>
        <v>6135550</v>
      </c>
      <c r="M231" s="4">
        <f t="shared" si="18"/>
        <v>4528650</v>
      </c>
      <c r="N231" s="3" t="s">
        <v>225</v>
      </c>
      <c r="O231" s="3" t="s">
        <v>225</v>
      </c>
      <c r="P231" s="4">
        <f t="shared" si="19"/>
        <v>0</v>
      </c>
    </row>
    <row r="232" spans="1:16" ht="30" x14ac:dyDescent="0.25">
      <c r="A232" s="3" t="s">
        <v>125</v>
      </c>
      <c r="B232" s="3" t="s">
        <v>129</v>
      </c>
      <c r="C232" s="3" t="s">
        <v>75</v>
      </c>
      <c r="D232" s="3" t="s">
        <v>72</v>
      </c>
      <c r="E232" s="20">
        <v>100</v>
      </c>
      <c r="F232" s="3" t="s">
        <v>147</v>
      </c>
      <c r="G232" s="4">
        <v>140000</v>
      </c>
      <c r="H232" s="4">
        <v>100000</v>
      </c>
      <c r="I232" s="4">
        <f t="shared" si="15"/>
        <v>14000000</v>
      </c>
      <c r="J232" s="4">
        <f t="shared" si="16"/>
        <v>10000000</v>
      </c>
      <c r="K232" s="4">
        <v>35300000</v>
      </c>
      <c r="L232" s="4">
        <f t="shared" si="17"/>
        <v>24000000</v>
      </c>
      <c r="M232" s="4">
        <f t="shared" si="18"/>
        <v>11300000</v>
      </c>
      <c r="N232" s="3" t="s">
        <v>148</v>
      </c>
      <c r="O232" s="3" t="s">
        <v>148</v>
      </c>
      <c r="P232" s="4">
        <f t="shared" si="19"/>
        <v>0</v>
      </c>
    </row>
    <row r="233" spans="1:16" ht="30" x14ac:dyDescent="0.25">
      <c r="A233" s="3" t="s">
        <v>125</v>
      </c>
      <c r="B233" s="3" t="s">
        <v>129</v>
      </c>
      <c r="C233" s="3" t="s">
        <v>74</v>
      </c>
      <c r="D233" s="3" t="s">
        <v>72</v>
      </c>
      <c r="E233" s="20">
        <v>150</v>
      </c>
      <c r="F233" s="3" t="s">
        <v>147</v>
      </c>
      <c r="G233" s="4">
        <v>120000</v>
      </c>
      <c r="H233" s="4">
        <v>100000</v>
      </c>
      <c r="I233" s="4">
        <f t="shared" si="15"/>
        <v>18000000</v>
      </c>
      <c r="J233" s="4">
        <f t="shared" si="16"/>
        <v>15000000</v>
      </c>
      <c r="K233" s="4">
        <v>42150000</v>
      </c>
      <c r="L233" s="4">
        <f t="shared" si="17"/>
        <v>33000000</v>
      </c>
      <c r="M233" s="4">
        <f t="shared" si="18"/>
        <v>9150000</v>
      </c>
      <c r="N233" s="3" t="s">
        <v>148</v>
      </c>
      <c r="O233" s="3" t="s">
        <v>148</v>
      </c>
      <c r="P233" s="4">
        <f t="shared" si="19"/>
        <v>0</v>
      </c>
    </row>
    <row r="234" spans="1:16" ht="30" x14ac:dyDescent="0.25">
      <c r="A234" s="3" t="s">
        <v>125</v>
      </c>
      <c r="B234" s="3" t="s">
        <v>129</v>
      </c>
      <c r="C234" s="3" t="s">
        <v>162</v>
      </c>
      <c r="D234" s="3" t="s">
        <v>64</v>
      </c>
      <c r="E234" s="20">
        <v>6</v>
      </c>
      <c r="F234" s="3" t="s">
        <v>147</v>
      </c>
      <c r="G234" s="4">
        <v>53000</v>
      </c>
      <c r="H234" s="4">
        <v>25000</v>
      </c>
      <c r="I234" s="4">
        <f t="shared" si="15"/>
        <v>318000</v>
      </c>
      <c r="J234" s="4">
        <f t="shared" si="16"/>
        <v>150000</v>
      </c>
      <c r="K234" s="4">
        <v>752400</v>
      </c>
      <c r="L234" s="4">
        <f t="shared" si="17"/>
        <v>468000</v>
      </c>
      <c r="M234" s="4">
        <f t="shared" si="18"/>
        <v>284400</v>
      </c>
      <c r="N234" s="3" t="s">
        <v>60</v>
      </c>
      <c r="O234" s="3" t="s">
        <v>148</v>
      </c>
      <c r="P234" s="4">
        <f t="shared" si="19"/>
        <v>0</v>
      </c>
    </row>
    <row r="235" spans="1:16" ht="30" x14ac:dyDescent="0.25">
      <c r="A235" s="3" t="s">
        <v>125</v>
      </c>
      <c r="B235" s="3" t="s">
        <v>129</v>
      </c>
      <c r="C235" s="3" t="s">
        <v>163</v>
      </c>
      <c r="D235" s="3" t="s">
        <v>64</v>
      </c>
      <c r="E235" s="20">
        <v>80</v>
      </c>
      <c r="F235" s="3" t="s">
        <v>147</v>
      </c>
      <c r="G235" s="4">
        <v>42000</v>
      </c>
      <c r="H235" s="4">
        <v>25000</v>
      </c>
      <c r="I235" s="4">
        <f t="shared" si="15"/>
        <v>3360000</v>
      </c>
      <c r="J235" s="4">
        <f t="shared" si="16"/>
        <v>2000000</v>
      </c>
      <c r="K235" s="4">
        <v>7040000</v>
      </c>
      <c r="L235" s="4">
        <f t="shared" si="17"/>
        <v>5360000</v>
      </c>
      <c r="M235" s="4">
        <f t="shared" si="18"/>
        <v>1680000</v>
      </c>
      <c r="N235" s="3" t="s">
        <v>60</v>
      </c>
      <c r="O235" s="3" t="s">
        <v>148</v>
      </c>
      <c r="P235" s="4">
        <f t="shared" si="19"/>
        <v>0</v>
      </c>
    </row>
    <row r="236" spans="1:16" ht="30" x14ac:dyDescent="0.25">
      <c r="A236" s="3" t="s">
        <v>125</v>
      </c>
      <c r="B236" s="3" t="s">
        <v>129</v>
      </c>
      <c r="C236" s="3" t="s">
        <v>164</v>
      </c>
      <c r="D236" s="3" t="s">
        <v>64</v>
      </c>
      <c r="E236" s="20">
        <v>5</v>
      </c>
      <c r="F236" s="3" t="s">
        <v>147</v>
      </c>
      <c r="G236" s="4">
        <v>95000</v>
      </c>
      <c r="H236" s="4">
        <v>25000</v>
      </c>
      <c r="I236" s="4">
        <f t="shared" si="15"/>
        <v>475000</v>
      </c>
      <c r="J236" s="4">
        <f t="shared" si="16"/>
        <v>125000</v>
      </c>
      <c r="K236" s="4">
        <v>980000</v>
      </c>
      <c r="L236" s="4">
        <f t="shared" si="17"/>
        <v>600000</v>
      </c>
      <c r="M236" s="4">
        <f t="shared" si="18"/>
        <v>380000</v>
      </c>
      <c r="N236" s="3" t="s">
        <v>60</v>
      </c>
      <c r="O236" s="3" t="s">
        <v>148</v>
      </c>
      <c r="P236" s="4">
        <f t="shared" si="19"/>
        <v>0</v>
      </c>
    </row>
    <row r="237" spans="1:16" ht="30" x14ac:dyDescent="0.25">
      <c r="A237" s="3" t="s">
        <v>125</v>
      </c>
      <c r="B237" s="3" t="s">
        <v>129</v>
      </c>
      <c r="C237" s="3" t="s">
        <v>165</v>
      </c>
      <c r="D237" s="3" t="s">
        <v>64</v>
      </c>
      <c r="E237" s="20">
        <v>15</v>
      </c>
      <c r="F237" s="3" t="s">
        <v>147</v>
      </c>
      <c r="G237" s="4">
        <v>75000</v>
      </c>
      <c r="H237" s="4">
        <v>25000</v>
      </c>
      <c r="I237" s="4">
        <f t="shared" si="15"/>
        <v>1125000</v>
      </c>
      <c r="J237" s="4">
        <f t="shared" si="16"/>
        <v>375000</v>
      </c>
      <c r="K237" s="4">
        <v>2415000</v>
      </c>
      <c r="L237" s="4">
        <f t="shared" si="17"/>
        <v>1500000</v>
      </c>
      <c r="M237" s="4">
        <f t="shared" si="18"/>
        <v>915000</v>
      </c>
      <c r="N237" s="3" t="s">
        <v>60</v>
      </c>
      <c r="O237" s="3" t="s">
        <v>148</v>
      </c>
      <c r="P237" s="4">
        <f t="shared" si="19"/>
        <v>0</v>
      </c>
    </row>
    <row r="238" spans="1:16" ht="30" x14ac:dyDescent="0.25">
      <c r="A238" s="3" t="s">
        <v>125</v>
      </c>
      <c r="B238" s="3" t="s">
        <v>129</v>
      </c>
      <c r="C238" s="3" t="s">
        <v>182</v>
      </c>
      <c r="D238" s="3" t="s">
        <v>176</v>
      </c>
      <c r="E238" s="20">
        <v>13</v>
      </c>
      <c r="F238" s="3" t="s">
        <v>147</v>
      </c>
      <c r="G238" s="4">
        <v>368000</v>
      </c>
      <c r="H238" s="4">
        <v>400000</v>
      </c>
      <c r="I238" s="4">
        <f t="shared" si="15"/>
        <v>4784000</v>
      </c>
      <c r="J238" s="4">
        <f t="shared" si="16"/>
        <v>5200000</v>
      </c>
      <c r="K238" s="4">
        <v>13195000</v>
      </c>
      <c r="L238" s="4">
        <f t="shared" si="17"/>
        <v>9984000</v>
      </c>
      <c r="M238" s="4">
        <f t="shared" si="18"/>
        <v>3211000</v>
      </c>
      <c r="N238" s="3" t="s">
        <v>60</v>
      </c>
      <c r="O238" s="3" t="s">
        <v>148</v>
      </c>
      <c r="P238" s="4">
        <f t="shared" si="19"/>
        <v>0</v>
      </c>
    </row>
    <row r="239" spans="1:16" ht="30" x14ac:dyDescent="0.25">
      <c r="A239" s="3" t="s">
        <v>125</v>
      </c>
      <c r="B239" s="3" t="s">
        <v>129</v>
      </c>
      <c r="C239" s="3" t="s">
        <v>183</v>
      </c>
      <c r="D239" s="3" t="s">
        <v>184</v>
      </c>
      <c r="E239" s="20">
        <v>13</v>
      </c>
      <c r="F239" s="3" t="s">
        <v>147</v>
      </c>
      <c r="G239" s="4">
        <v>600000</v>
      </c>
      <c r="H239" s="21">
        <v>67692</v>
      </c>
      <c r="I239" s="4">
        <f t="shared" si="15"/>
        <v>7800000</v>
      </c>
      <c r="J239" s="4">
        <f t="shared" si="16"/>
        <v>879996</v>
      </c>
      <c r="K239" s="4">
        <v>10816000</v>
      </c>
      <c r="L239" s="4">
        <f t="shared" si="17"/>
        <v>8679996</v>
      </c>
      <c r="M239" s="4">
        <f t="shared" si="18"/>
        <v>2136004</v>
      </c>
      <c r="N239" s="3" t="s">
        <v>148</v>
      </c>
      <c r="O239" s="22" t="s">
        <v>185</v>
      </c>
      <c r="P239" s="4">
        <f t="shared" si="19"/>
        <v>879996</v>
      </c>
    </row>
    <row r="240" spans="1:16" ht="30" x14ac:dyDescent="0.25">
      <c r="A240" s="3" t="s">
        <v>125</v>
      </c>
      <c r="B240" s="3" t="s">
        <v>129</v>
      </c>
      <c r="C240" s="3" t="s">
        <v>186</v>
      </c>
      <c r="D240" s="3" t="s">
        <v>64</v>
      </c>
      <c r="E240" s="20">
        <v>13</v>
      </c>
      <c r="F240" s="3" t="s">
        <v>147</v>
      </c>
      <c r="G240" s="4">
        <v>166000</v>
      </c>
      <c r="H240" s="4">
        <v>100000</v>
      </c>
      <c r="I240" s="4">
        <f t="shared" si="15"/>
        <v>2158000</v>
      </c>
      <c r="J240" s="4">
        <f t="shared" si="16"/>
        <v>1300000</v>
      </c>
      <c r="K240" s="4">
        <v>6500000</v>
      </c>
      <c r="L240" s="4">
        <f t="shared" si="17"/>
        <v>3458000</v>
      </c>
      <c r="M240" s="4">
        <f t="shared" si="18"/>
        <v>3042000</v>
      </c>
      <c r="N240" s="3" t="s">
        <v>148</v>
      </c>
      <c r="O240" s="3" t="s">
        <v>148</v>
      </c>
      <c r="P240" s="4">
        <f t="shared" si="19"/>
        <v>0</v>
      </c>
    </row>
    <row r="241" spans="1:16" ht="30" x14ac:dyDescent="0.25">
      <c r="A241" s="3" t="s">
        <v>125</v>
      </c>
      <c r="B241" s="3" t="s">
        <v>129</v>
      </c>
      <c r="C241" s="3" t="s">
        <v>187</v>
      </c>
      <c r="D241" s="3" t="s">
        <v>78</v>
      </c>
      <c r="E241" s="20">
        <v>5</v>
      </c>
      <c r="F241" s="3" t="s">
        <v>178</v>
      </c>
      <c r="G241" s="4">
        <v>53000</v>
      </c>
      <c r="H241" s="4">
        <v>50000</v>
      </c>
      <c r="I241" s="4">
        <f t="shared" si="15"/>
        <v>265000</v>
      </c>
      <c r="J241" s="4">
        <f t="shared" si="16"/>
        <v>250000</v>
      </c>
      <c r="K241" s="4">
        <v>1135000</v>
      </c>
      <c r="L241" s="4">
        <f t="shared" si="17"/>
        <v>515000</v>
      </c>
      <c r="M241" s="4">
        <f t="shared" si="18"/>
        <v>620000</v>
      </c>
      <c r="N241" s="3" t="s">
        <v>60</v>
      </c>
      <c r="O241" s="3" t="s">
        <v>148</v>
      </c>
      <c r="P241" s="4">
        <f t="shared" si="19"/>
        <v>0</v>
      </c>
    </row>
    <row r="242" spans="1:16" ht="30" x14ac:dyDescent="0.25">
      <c r="A242" s="3" t="s">
        <v>125</v>
      </c>
      <c r="B242" s="3" t="s">
        <v>129</v>
      </c>
      <c r="C242" s="3" t="s">
        <v>69</v>
      </c>
      <c r="D242" s="3" t="s">
        <v>64</v>
      </c>
      <c r="E242" s="20">
        <v>5</v>
      </c>
      <c r="F242" s="3" t="s">
        <v>178</v>
      </c>
      <c r="G242" s="4">
        <v>137000</v>
      </c>
      <c r="H242" s="21">
        <v>31538</v>
      </c>
      <c r="I242" s="4">
        <f t="shared" si="15"/>
        <v>685000</v>
      </c>
      <c r="J242" s="4">
        <f t="shared" si="16"/>
        <v>157690</v>
      </c>
      <c r="K242" s="4">
        <v>1305000</v>
      </c>
      <c r="L242" s="4">
        <f t="shared" si="17"/>
        <v>842690</v>
      </c>
      <c r="M242" s="4">
        <f t="shared" si="18"/>
        <v>462310</v>
      </c>
      <c r="N242" s="3" t="s">
        <v>60</v>
      </c>
      <c r="O242" s="22" t="s">
        <v>185</v>
      </c>
      <c r="P242" s="4">
        <f t="shared" si="19"/>
        <v>157690</v>
      </c>
    </row>
    <row r="243" spans="1:16" ht="30" x14ac:dyDescent="0.25">
      <c r="A243" s="3" t="s">
        <v>125</v>
      </c>
      <c r="B243" s="3" t="s">
        <v>129</v>
      </c>
      <c r="C243" s="3" t="s">
        <v>188</v>
      </c>
      <c r="D243" s="3" t="s">
        <v>189</v>
      </c>
      <c r="E243" s="20">
        <v>10</v>
      </c>
      <c r="F243" s="3" t="s">
        <v>178</v>
      </c>
      <c r="G243" s="4">
        <v>652000</v>
      </c>
      <c r="H243" s="21">
        <v>10769</v>
      </c>
      <c r="I243" s="4">
        <f t="shared" si="15"/>
        <v>6520000</v>
      </c>
      <c r="J243" s="4">
        <f t="shared" si="16"/>
        <v>107690</v>
      </c>
      <c r="K243" s="4">
        <v>7580000</v>
      </c>
      <c r="L243" s="4">
        <f t="shared" si="17"/>
        <v>6627690</v>
      </c>
      <c r="M243" s="4">
        <f t="shared" si="18"/>
        <v>952310</v>
      </c>
      <c r="N243" s="3" t="s">
        <v>60</v>
      </c>
      <c r="O243" s="22" t="s">
        <v>185</v>
      </c>
      <c r="P243" s="4">
        <f t="shared" si="19"/>
        <v>107690</v>
      </c>
    </row>
    <row r="244" spans="1:16" ht="30" x14ac:dyDescent="0.25">
      <c r="A244" s="3" t="s">
        <v>125</v>
      </c>
      <c r="B244" s="3" t="s">
        <v>129</v>
      </c>
      <c r="C244" s="3" t="s">
        <v>79</v>
      </c>
      <c r="D244" s="3" t="s">
        <v>78</v>
      </c>
      <c r="E244" s="20">
        <v>1</v>
      </c>
      <c r="F244" s="3" t="s">
        <v>147</v>
      </c>
      <c r="G244" s="4">
        <v>2205000</v>
      </c>
      <c r="H244" s="4">
        <v>150000</v>
      </c>
      <c r="I244" s="4">
        <f t="shared" si="15"/>
        <v>2205000</v>
      </c>
      <c r="J244" s="4">
        <f t="shared" si="16"/>
        <v>150000</v>
      </c>
      <c r="K244" s="4">
        <v>4188000</v>
      </c>
      <c r="L244" s="4">
        <f t="shared" si="17"/>
        <v>2355000</v>
      </c>
      <c r="M244" s="4">
        <f t="shared" si="18"/>
        <v>1833000</v>
      </c>
      <c r="N244" s="3" t="s">
        <v>60</v>
      </c>
      <c r="O244" s="3" t="s">
        <v>148</v>
      </c>
      <c r="P244" s="4">
        <f t="shared" si="19"/>
        <v>0</v>
      </c>
    </row>
    <row r="245" spans="1:16" ht="30" x14ac:dyDescent="0.25">
      <c r="A245" s="3" t="s">
        <v>125</v>
      </c>
      <c r="B245" s="3" t="s">
        <v>129</v>
      </c>
      <c r="C245" s="3" t="s">
        <v>62</v>
      </c>
      <c r="D245" s="3" t="s">
        <v>64</v>
      </c>
      <c r="E245" s="20">
        <v>6</v>
      </c>
      <c r="F245" s="3" t="s">
        <v>178</v>
      </c>
      <c r="G245" s="4">
        <v>442000</v>
      </c>
      <c r="H245" s="4">
        <v>50000</v>
      </c>
      <c r="I245" s="4">
        <f t="shared" si="15"/>
        <v>2652000</v>
      </c>
      <c r="J245" s="4">
        <f t="shared" si="16"/>
        <v>300000</v>
      </c>
      <c r="K245" s="4">
        <v>3186000</v>
      </c>
      <c r="L245" s="4">
        <f t="shared" si="17"/>
        <v>2952000</v>
      </c>
      <c r="M245" s="4">
        <f t="shared" si="18"/>
        <v>234000</v>
      </c>
      <c r="N245" s="3" t="s">
        <v>60</v>
      </c>
      <c r="O245" s="3" t="s">
        <v>148</v>
      </c>
      <c r="P245" s="4">
        <f t="shared" si="19"/>
        <v>0</v>
      </c>
    </row>
    <row r="246" spans="1:16" ht="30" x14ac:dyDescent="0.25">
      <c r="A246" s="3" t="s">
        <v>125</v>
      </c>
      <c r="B246" s="3" t="s">
        <v>129</v>
      </c>
      <c r="C246" s="3" t="s">
        <v>191</v>
      </c>
      <c r="D246" s="3" t="s">
        <v>159</v>
      </c>
      <c r="E246" s="20">
        <v>1</v>
      </c>
      <c r="F246" s="3" t="s">
        <v>158</v>
      </c>
      <c r="G246" s="4">
        <v>3217350</v>
      </c>
      <c r="H246" s="4">
        <v>1799769</v>
      </c>
      <c r="I246" s="4">
        <f t="shared" si="15"/>
        <v>3217350</v>
      </c>
      <c r="J246" s="4">
        <f t="shared" si="16"/>
        <v>1799769</v>
      </c>
      <c r="K246" s="4">
        <v>6827120</v>
      </c>
      <c r="L246" s="4">
        <f t="shared" si="17"/>
        <v>5017119</v>
      </c>
      <c r="M246" s="4">
        <f t="shared" si="18"/>
        <v>1810001</v>
      </c>
      <c r="N246" s="3" t="s">
        <v>226</v>
      </c>
      <c r="O246" s="3" t="s">
        <v>226</v>
      </c>
      <c r="P246" s="4">
        <f t="shared" si="19"/>
        <v>0</v>
      </c>
    </row>
    <row r="247" spans="1:16" ht="30" x14ac:dyDescent="0.25">
      <c r="A247" s="3" t="s">
        <v>125</v>
      </c>
      <c r="B247" s="3" t="s">
        <v>129</v>
      </c>
      <c r="C247" s="3" t="s">
        <v>201</v>
      </c>
      <c r="D247" s="3" t="s">
        <v>202</v>
      </c>
      <c r="E247" s="20">
        <v>60</v>
      </c>
      <c r="F247" s="3" t="s">
        <v>197</v>
      </c>
      <c r="G247" s="4">
        <v>0</v>
      </c>
      <c r="H247" s="4">
        <v>20000</v>
      </c>
      <c r="I247" s="4">
        <f t="shared" si="15"/>
        <v>0</v>
      </c>
      <c r="J247" s="4">
        <f t="shared" si="16"/>
        <v>1200000</v>
      </c>
      <c r="K247" s="4">
        <v>1860000</v>
      </c>
      <c r="L247" s="4">
        <f t="shared" si="17"/>
        <v>1200000</v>
      </c>
      <c r="M247" s="4">
        <f t="shared" si="18"/>
        <v>660000</v>
      </c>
      <c r="N247" s="3" t="s">
        <v>203</v>
      </c>
      <c r="O247" s="3" t="s">
        <v>148</v>
      </c>
      <c r="P247" s="4">
        <f t="shared" si="19"/>
        <v>0</v>
      </c>
    </row>
    <row r="248" spans="1:16" ht="30" x14ac:dyDescent="0.25">
      <c r="A248" s="3" t="s">
        <v>125</v>
      </c>
      <c r="B248" s="3" t="s">
        <v>129</v>
      </c>
      <c r="C248" s="3" t="s">
        <v>204</v>
      </c>
      <c r="D248" s="3" t="s">
        <v>202</v>
      </c>
      <c r="E248" s="20">
        <v>60</v>
      </c>
      <c r="F248" s="3" t="s">
        <v>197</v>
      </c>
      <c r="G248" s="4">
        <v>0</v>
      </c>
      <c r="H248" s="4">
        <v>20000</v>
      </c>
      <c r="I248" s="4">
        <f t="shared" si="15"/>
        <v>0</v>
      </c>
      <c r="J248" s="4">
        <f t="shared" si="16"/>
        <v>1200000</v>
      </c>
      <c r="K248" s="4">
        <v>2100000</v>
      </c>
      <c r="L248" s="4">
        <f t="shared" si="17"/>
        <v>1200000</v>
      </c>
      <c r="M248" s="4">
        <f t="shared" si="18"/>
        <v>900000</v>
      </c>
      <c r="N248" s="3" t="s">
        <v>203</v>
      </c>
      <c r="O248" s="3" t="s">
        <v>148</v>
      </c>
      <c r="P248" s="4">
        <f t="shared" si="19"/>
        <v>0</v>
      </c>
    </row>
    <row r="249" spans="1:16" ht="30" x14ac:dyDescent="0.25">
      <c r="A249" s="3" t="s">
        <v>125</v>
      </c>
      <c r="B249" s="3" t="s">
        <v>129</v>
      </c>
      <c r="C249" s="3" t="s">
        <v>219</v>
      </c>
      <c r="D249" s="3" t="s">
        <v>64</v>
      </c>
      <c r="E249" s="20">
        <v>5</v>
      </c>
      <c r="F249" s="3" t="s">
        <v>147</v>
      </c>
      <c r="G249" s="4">
        <v>158000</v>
      </c>
      <c r="H249" s="4">
        <v>100000</v>
      </c>
      <c r="I249" s="4">
        <f t="shared" si="15"/>
        <v>790000</v>
      </c>
      <c r="J249" s="4">
        <f t="shared" si="16"/>
        <v>500000</v>
      </c>
      <c r="K249" s="4">
        <v>2250000</v>
      </c>
      <c r="L249" s="4">
        <f t="shared" si="17"/>
        <v>1290000</v>
      </c>
      <c r="M249" s="4">
        <f t="shared" si="18"/>
        <v>960000</v>
      </c>
      <c r="N249" s="3" t="s">
        <v>60</v>
      </c>
      <c r="O249" s="3" t="s">
        <v>148</v>
      </c>
      <c r="P249" s="4">
        <f t="shared" si="19"/>
        <v>0</v>
      </c>
    </row>
    <row r="250" spans="1:16" ht="30" x14ac:dyDescent="0.25">
      <c r="A250" s="3" t="s">
        <v>125</v>
      </c>
      <c r="B250" s="3" t="s">
        <v>129</v>
      </c>
      <c r="C250" s="3" t="s">
        <v>208</v>
      </c>
      <c r="D250" s="3" t="s">
        <v>64</v>
      </c>
      <c r="E250" s="20">
        <v>16</v>
      </c>
      <c r="F250" s="3" t="s">
        <v>147</v>
      </c>
      <c r="G250" s="4">
        <v>190000</v>
      </c>
      <c r="H250" s="4">
        <v>100000</v>
      </c>
      <c r="I250" s="4">
        <f t="shared" si="15"/>
        <v>3040000</v>
      </c>
      <c r="J250" s="4">
        <f t="shared" si="16"/>
        <v>1600000</v>
      </c>
      <c r="K250" s="4">
        <v>7680000</v>
      </c>
      <c r="L250" s="4">
        <f t="shared" si="17"/>
        <v>4640000</v>
      </c>
      <c r="M250" s="4">
        <f t="shared" si="18"/>
        <v>3040000</v>
      </c>
      <c r="N250" s="3" t="s">
        <v>60</v>
      </c>
      <c r="O250" s="3" t="s">
        <v>148</v>
      </c>
      <c r="P250" s="4">
        <f t="shared" si="19"/>
        <v>0</v>
      </c>
    </row>
    <row r="251" spans="1:16" ht="30" x14ac:dyDescent="0.25">
      <c r="A251" s="3" t="s">
        <v>125</v>
      </c>
      <c r="B251" s="3" t="s">
        <v>129</v>
      </c>
      <c r="C251" s="3" t="s">
        <v>220</v>
      </c>
      <c r="D251" s="3" t="s">
        <v>194</v>
      </c>
      <c r="E251" s="20">
        <v>600</v>
      </c>
      <c r="F251" s="3" t="s">
        <v>147</v>
      </c>
      <c r="G251" s="4">
        <v>7500</v>
      </c>
      <c r="H251" s="4">
        <v>5000</v>
      </c>
      <c r="I251" s="4">
        <f t="shared" si="15"/>
        <v>4500000</v>
      </c>
      <c r="J251" s="4">
        <f t="shared" si="16"/>
        <v>3000000</v>
      </c>
      <c r="K251" s="4">
        <v>13800000</v>
      </c>
      <c r="L251" s="4">
        <f t="shared" si="17"/>
        <v>7500000</v>
      </c>
      <c r="M251" s="4">
        <f t="shared" si="18"/>
        <v>6300000</v>
      </c>
      <c r="N251" s="3" t="s">
        <v>148</v>
      </c>
      <c r="O251" s="3" t="s">
        <v>148</v>
      </c>
      <c r="P251" s="4">
        <f t="shared" si="19"/>
        <v>0</v>
      </c>
    </row>
    <row r="252" spans="1:16" ht="30" x14ac:dyDescent="0.25">
      <c r="A252" s="3" t="s">
        <v>125</v>
      </c>
      <c r="B252" s="3" t="s">
        <v>129</v>
      </c>
      <c r="C252" s="3" t="s">
        <v>155</v>
      </c>
      <c r="D252" s="3" t="s">
        <v>72</v>
      </c>
      <c r="E252" s="20">
        <v>600</v>
      </c>
      <c r="F252" s="3" t="s">
        <v>147</v>
      </c>
      <c r="G252" s="4">
        <v>6000</v>
      </c>
      <c r="H252" s="4">
        <v>20000</v>
      </c>
      <c r="I252" s="4">
        <f t="shared" si="15"/>
        <v>3600000</v>
      </c>
      <c r="J252" s="4">
        <f t="shared" si="16"/>
        <v>12000000</v>
      </c>
      <c r="K252" s="4">
        <v>25200000</v>
      </c>
      <c r="L252" s="4">
        <f t="shared" si="17"/>
        <v>15600000</v>
      </c>
      <c r="M252" s="4">
        <f t="shared" si="18"/>
        <v>9600000</v>
      </c>
      <c r="N252" s="3" t="s">
        <v>148</v>
      </c>
      <c r="O252" s="3" t="s">
        <v>148</v>
      </c>
      <c r="P252" s="4">
        <f t="shared" si="19"/>
        <v>0</v>
      </c>
    </row>
    <row r="253" spans="1:16" ht="30" x14ac:dyDescent="0.25">
      <c r="A253" s="3" t="s">
        <v>125</v>
      </c>
      <c r="B253" s="3" t="s">
        <v>129</v>
      </c>
      <c r="C253" s="3" t="s">
        <v>224</v>
      </c>
      <c r="D253" s="3" t="s">
        <v>200</v>
      </c>
      <c r="E253" s="20">
        <v>4</v>
      </c>
      <c r="F253" s="3" t="s">
        <v>197</v>
      </c>
      <c r="G253" s="4">
        <v>1000000</v>
      </c>
      <c r="H253" s="4">
        <v>5000000</v>
      </c>
      <c r="I253" s="4">
        <f t="shared" si="15"/>
        <v>4000000</v>
      </c>
      <c r="J253" s="4">
        <f t="shared" si="16"/>
        <v>20000000</v>
      </c>
      <c r="K253" s="4">
        <v>32000000</v>
      </c>
      <c r="L253" s="4">
        <f t="shared" si="17"/>
        <v>24000000</v>
      </c>
      <c r="M253" s="4">
        <f t="shared" si="18"/>
        <v>8000000</v>
      </c>
      <c r="N253" s="3" t="s">
        <v>148</v>
      </c>
      <c r="O253" s="3" t="s">
        <v>148</v>
      </c>
      <c r="P253" s="4">
        <f t="shared" si="19"/>
        <v>0</v>
      </c>
    </row>
    <row r="254" spans="1:16" ht="30" x14ac:dyDescent="0.25">
      <c r="A254" s="3" t="s">
        <v>125</v>
      </c>
      <c r="B254" s="3" t="s">
        <v>130</v>
      </c>
      <c r="C254" s="3" t="s">
        <v>75</v>
      </c>
      <c r="D254" s="3" t="s">
        <v>72</v>
      </c>
      <c r="E254" s="20">
        <v>230</v>
      </c>
      <c r="F254" s="3" t="s">
        <v>147</v>
      </c>
      <c r="G254" s="4">
        <v>140000</v>
      </c>
      <c r="H254" s="4">
        <v>100000</v>
      </c>
      <c r="I254" s="4">
        <f t="shared" si="15"/>
        <v>32200000</v>
      </c>
      <c r="J254" s="4">
        <f t="shared" si="16"/>
        <v>23000000</v>
      </c>
      <c r="K254" s="4">
        <v>81190000</v>
      </c>
      <c r="L254" s="4">
        <f t="shared" si="17"/>
        <v>55200000</v>
      </c>
      <c r="M254" s="4">
        <f t="shared" si="18"/>
        <v>25990000</v>
      </c>
      <c r="N254" s="3" t="s">
        <v>148</v>
      </c>
      <c r="O254" s="3" t="s">
        <v>148</v>
      </c>
      <c r="P254" s="4">
        <f t="shared" si="19"/>
        <v>0</v>
      </c>
    </row>
    <row r="255" spans="1:16" ht="30" x14ac:dyDescent="0.25">
      <c r="A255" s="3" t="s">
        <v>125</v>
      </c>
      <c r="B255" s="3" t="s">
        <v>130</v>
      </c>
      <c r="C255" s="3" t="s">
        <v>74</v>
      </c>
      <c r="D255" s="3" t="s">
        <v>72</v>
      </c>
      <c r="E255" s="20">
        <v>60</v>
      </c>
      <c r="F255" s="3" t="s">
        <v>147</v>
      </c>
      <c r="G255" s="4">
        <v>120000</v>
      </c>
      <c r="H255" s="4">
        <v>100000</v>
      </c>
      <c r="I255" s="4">
        <f t="shared" si="15"/>
        <v>7200000</v>
      </c>
      <c r="J255" s="4">
        <f t="shared" si="16"/>
        <v>6000000</v>
      </c>
      <c r="K255" s="4">
        <v>16860000</v>
      </c>
      <c r="L255" s="4">
        <f t="shared" si="17"/>
        <v>13200000</v>
      </c>
      <c r="M255" s="4">
        <f t="shared" si="18"/>
        <v>3660000</v>
      </c>
      <c r="N255" s="3" t="s">
        <v>148</v>
      </c>
      <c r="O255" s="3" t="s">
        <v>148</v>
      </c>
      <c r="P255" s="4">
        <f t="shared" si="19"/>
        <v>0</v>
      </c>
    </row>
    <row r="256" spans="1:16" ht="30" x14ac:dyDescent="0.25">
      <c r="A256" s="3" t="s">
        <v>125</v>
      </c>
      <c r="B256" s="3" t="s">
        <v>130</v>
      </c>
      <c r="C256" s="3" t="s">
        <v>162</v>
      </c>
      <c r="D256" s="3" t="s">
        <v>64</v>
      </c>
      <c r="E256" s="20">
        <v>15</v>
      </c>
      <c r="F256" s="3" t="s">
        <v>147</v>
      </c>
      <c r="G256" s="4">
        <v>53000</v>
      </c>
      <c r="H256" s="4">
        <v>25000</v>
      </c>
      <c r="I256" s="4">
        <f t="shared" si="15"/>
        <v>795000</v>
      </c>
      <c r="J256" s="4">
        <f t="shared" si="16"/>
        <v>375000</v>
      </c>
      <c r="K256" s="4">
        <v>1881000</v>
      </c>
      <c r="L256" s="4">
        <f t="shared" si="17"/>
        <v>1170000</v>
      </c>
      <c r="M256" s="4">
        <f t="shared" si="18"/>
        <v>711000</v>
      </c>
      <c r="N256" s="3" t="s">
        <v>60</v>
      </c>
      <c r="O256" s="3" t="s">
        <v>148</v>
      </c>
      <c r="P256" s="4">
        <f t="shared" si="19"/>
        <v>0</v>
      </c>
    </row>
    <row r="257" spans="1:16" ht="30" x14ac:dyDescent="0.25">
      <c r="A257" s="3" t="s">
        <v>125</v>
      </c>
      <c r="B257" s="3" t="s">
        <v>130</v>
      </c>
      <c r="C257" s="3" t="s">
        <v>163</v>
      </c>
      <c r="D257" s="3" t="s">
        <v>64</v>
      </c>
      <c r="E257" s="20">
        <v>50</v>
      </c>
      <c r="F257" s="3" t="s">
        <v>147</v>
      </c>
      <c r="G257" s="4">
        <v>42000</v>
      </c>
      <c r="H257" s="4">
        <v>25000</v>
      </c>
      <c r="I257" s="4">
        <f t="shared" si="15"/>
        <v>2100000</v>
      </c>
      <c r="J257" s="4">
        <f t="shared" si="16"/>
        <v>1250000</v>
      </c>
      <c r="K257" s="4">
        <v>4400000</v>
      </c>
      <c r="L257" s="4">
        <f t="shared" si="17"/>
        <v>3350000</v>
      </c>
      <c r="M257" s="4">
        <f t="shared" si="18"/>
        <v>1050000</v>
      </c>
      <c r="N257" s="3" t="s">
        <v>60</v>
      </c>
      <c r="O257" s="3" t="s">
        <v>148</v>
      </c>
      <c r="P257" s="4">
        <f t="shared" si="19"/>
        <v>0</v>
      </c>
    </row>
    <row r="258" spans="1:16" ht="30" x14ac:dyDescent="0.25">
      <c r="A258" s="3" t="s">
        <v>125</v>
      </c>
      <c r="B258" s="3" t="s">
        <v>130</v>
      </c>
      <c r="C258" s="3" t="s">
        <v>211</v>
      </c>
      <c r="D258" s="3" t="s">
        <v>64</v>
      </c>
      <c r="E258" s="20">
        <v>6</v>
      </c>
      <c r="F258" s="3" t="s">
        <v>147</v>
      </c>
      <c r="G258" s="4">
        <v>190000</v>
      </c>
      <c r="H258" s="4">
        <v>50000</v>
      </c>
      <c r="I258" s="4">
        <f t="shared" si="15"/>
        <v>1140000</v>
      </c>
      <c r="J258" s="4">
        <f t="shared" si="16"/>
        <v>300000</v>
      </c>
      <c r="K258" s="4">
        <v>1350000</v>
      </c>
      <c r="L258" s="4">
        <f t="shared" si="17"/>
        <v>1440000</v>
      </c>
      <c r="M258" s="4">
        <f t="shared" si="18"/>
        <v>-90000</v>
      </c>
      <c r="N258" s="3" t="s">
        <v>60</v>
      </c>
      <c r="O258" s="3" t="s">
        <v>148</v>
      </c>
      <c r="P258" s="4">
        <f t="shared" si="19"/>
        <v>0</v>
      </c>
    </row>
    <row r="259" spans="1:16" ht="30" x14ac:dyDescent="0.25">
      <c r="A259" s="3" t="s">
        <v>125</v>
      </c>
      <c r="B259" s="3" t="s">
        <v>130</v>
      </c>
      <c r="C259" s="3" t="s">
        <v>165</v>
      </c>
      <c r="D259" s="3" t="s">
        <v>64</v>
      </c>
      <c r="E259" s="20">
        <v>7</v>
      </c>
      <c r="F259" s="3" t="s">
        <v>147</v>
      </c>
      <c r="G259" s="4">
        <v>75000</v>
      </c>
      <c r="H259" s="4">
        <v>25000</v>
      </c>
      <c r="I259" s="4">
        <f t="shared" si="15"/>
        <v>525000</v>
      </c>
      <c r="J259" s="4">
        <f t="shared" si="16"/>
        <v>175000</v>
      </c>
      <c r="K259" s="4">
        <v>1127000</v>
      </c>
      <c r="L259" s="4">
        <f t="shared" si="17"/>
        <v>700000</v>
      </c>
      <c r="M259" s="4">
        <f t="shared" si="18"/>
        <v>427000</v>
      </c>
      <c r="N259" s="3" t="s">
        <v>60</v>
      </c>
      <c r="O259" s="3" t="s">
        <v>148</v>
      </c>
      <c r="P259" s="4">
        <f t="shared" si="19"/>
        <v>0</v>
      </c>
    </row>
    <row r="260" spans="1:16" ht="30" x14ac:dyDescent="0.25">
      <c r="A260" s="3" t="s">
        <v>125</v>
      </c>
      <c r="B260" s="3" t="s">
        <v>130</v>
      </c>
      <c r="C260" s="3" t="s">
        <v>183</v>
      </c>
      <c r="D260" s="3" t="s">
        <v>184</v>
      </c>
      <c r="E260" s="20">
        <v>13</v>
      </c>
      <c r="F260" s="3" t="s">
        <v>147</v>
      </c>
      <c r="G260" s="4">
        <v>600000</v>
      </c>
      <c r="H260" s="21">
        <v>67692</v>
      </c>
      <c r="I260" s="4">
        <f t="shared" ref="I260:I265" si="20">E260*G260</f>
        <v>7800000</v>
      </c>
      <c r="J260" s="4">
        <f t="shared" ref="J260:J265" si="21">E260*H260</f>
        <v>879996</v>
      </c>
      <c r="K260" s="4">
        <v>10816000</v>
      </c>
      <c r="L260" s="4">
        <f t="shared" ref="L260:L265" si="22">I260+J260</f>
        <v>8679996</v>
      </c>
      <c r="M260" s="4">
        <f t="shared" ref="M260:M323" si="23">K260-L260</f>
        <v>2136004</v>
      </c>
      <c r="N260" s="3" t="s">
        <v>148</v>
      </c>
      <c r="O260" s="22" t="s">
        <v>185</v>
      </c>
      <c r="P260" s="4">
        <f t="shared" ref="P260:P323" si="24">IF(LEFT(N260,3)="Tạm",I260,0)+IF(LEFT(O260,3)="Tạm",J260,0)</f>
        <v>879996</v>
      </c>
    </row>
    <row r="261" spans="1:16" ht="30" x14ac:dyDescent="0.25">
      <c r="A261" s="3" t="s">
        <v>125</v>
      </c>
      <c r="B261" s="3" t="s">
        <v>130</v>
      </c>
      <c r="C261" s="3" t="s">
        <v>186</v>
      </c>
      <c r="D261" s="3" t="s">
        <v>64</v>
      </c>
      <c r="E261" s="20">
        <v>13</v>
      </c>
      <c r="F261" s="3" t="s">
        <v>147</v>
      </c>
      <c r="G261" s="4">
        <v>166000</v>
      </c>
      <c r="H261" s="4">
        <v>100000</v>
      </c>
      <c r="I261" s="4">
        <f t="shared" si="20"/>
        <v>2158000</v>
      </c>
      <c r="J261" s="4">
        <f t="shared" si="21"/>
        <v>1300000</v>
      </c>
      <c r="K261" s="4">
        <v>6500000</v>
      </c>
      <c r="L261" s="4">
        <f t="shared" si="22"/>
        <v>3458000</v>
      </c>
      <c r="M261" s="4">
        <f t="shared" si="23"/>
        <v>3042000</v>
      </c>
      <c r="N261" s="3" t="s">
        <v>148</v>
      </c>
      <c r="O261" s="3" t="s">
        <v>148</v>
      </c>
      <c r="P261" s="4">
        <f t="shared" si="24"/>
        <v>0</v>
      </c>
    </row>
    <row r="262" spans="1:16" ht="30" x14ac:dyDescent="0.25">
      <c r="A262" s="3" t="s">
        <v>125</v>
      </c>
      <c r="B262" s="3" t="s">
        <v>130</v>
      </c>
      <c r="C262" s="3" t="s">
        <v>62</v>
      </c>
      <c r="D262" s="3" t="s">
        <v>64</v>
      </c>
      <c r="E262" s="20">
        <v>5</v>
      </c>
      <c r="F262" s="3" t="s">
        <v>178</v>
      </c>
      <c r="G262" s="4">
        <v>442000</v>
      </c>
      <c r="H262" s="4">
        <v>50000</v>
      </c>
      <c r="I262" s="4">
        <f t="shared" si="20"/>
        <v>2210000</v>
      </c>
      <c r="J262" s="4">
        <f t="shared" si="21"/>
        <v>250000</v>
      </c>
      <c r="K262" s="4">
        <v>2655000</v>
      </c>
      <c r="L262" s="4">
        <f t="shared" si="22"/>
        <v>2460000</v>
      </c>
      <c r="M262" s="4">
        <f t="shared" si="23"/>
        <v>195000</v>
      </c>
      <c r="N262" s="3" t="s">
        <v>60</v>
      </c>
      <c r="O262" s="3" t="s">
        <v>148</v>
      </c>
      <c r="P262" s="4">
        <f t="shared" si="24"/>
        <v>0</v>
      </c>
    </row>
    <row r="263" spans="1:16" ht="30" x14ac:dyDescent="0.25">
      <c r="A263" s="3" t="s">
        <v>125</v>
      </c>
      <c r="B263" s="3" t="s">
        <v>130</v>
      </c>
      <c r="C263" s="3" t="s">
        <v>191</v>
      </c>
      <c r="D263" s="3" t="s">
        <v>159</v>
      </c>
      <c r="E263" s="20">
        <v>1</v>
      </c>
      <c r="F263" s="3" t="s">
        <v>158</v>
      </c>
      <c r="G263" s="4">
        <v>2806400</v>
      </c>
      <c r="H263" s="4">
        <v>1676500</v>
      </c>
      <c r="I263" s="4">
        <f t="shared" si="20"/>
        <v>2806400</v>
      </c>
      <c r="J263" s="4">
        <f t="shared" si="21"/>
        <v>1676500</v>
      </c>
      <c r="K263" s="4">
        <v>6338950</v>
      </c>
      <c r="L263" s="4">
        <f t="shared" si="22"/>
        <v>4482900</v>
      </c>
      <c r="M263" s="4">
        <f t="shared" si="23"/>
        <v>1856050</v>
      </c>
      <c r="N263" s="3" t="s">
        <v>222</v>
      </c>
      <c r="O263" s="3" t="s">
        <v>222</v>
      </c>
      <c r="P263" s="4">
        <f t="shared" si="24"/>
        <v>0</v>
      </c>
    </row>
    <row r="264" spans="1:16" ht="30" x14ac:dyDescent="0.25">
      <c r="A264" s="3" t="s">
        <v>125</v>
      </c>
      <c r="B264" s="3" t="s">
        <v>130</v>
      </c>
      <c r="C264" s="3" t="s">
        <v>201</v>
      </c>
      <c r="D264" s="3" t="s">
        <v>202</v>
      </c>
      <c r="E264" s="20">
        <v>100</v>
      </c>
      <c r="F264" s="3" t="s">
        <v>197</v>
      </c>
      <c r="G264" s="4">
        <v>0</v>
      </c>
      <c r="H264" s="4">
        <v>20000</v>
      </c>
      <c r="I264" s="4">
        <f t="shared" si="20"/>
        <v>0</v>
      </c>
      <c r="J264" s="4">
        <f t="shared" si="21"/>
        <v>2000000</v>
      </c>
      <c r="K264" s="4">
        <v>3100000</v>
      </c>
      <c r="L264" s="4">
        <f t="shared" si="22"/>
        <v>2000000</v>
      </c>
      <c r="M264" s="4">
        <f t="shared" si="23"/>
        <v>1100000</v>
      </c>
      <c r="N264" s="3" t="s">
        <v>203</v>
      </c>
      <c r="O264" s="3" t="s">
        <v>148</v>
      </c>
      <c r="P264" s="4">
        <f t="shared" si="24"/>
        <v>0</v>
      </c>
    </row>
    <row r="265" spans="1:16" ht="30" x14ac:dyDescent="0.25">
      <c r="A265" s="3" t="s">
        <v>125</v>
      </c>
      <c r="B265" s="3" t="s">
        <v>130</v>
      </c>
      <c r="C265" s="3" t="s">
        <v>204</v>
      </c>
      <c r="D265" s="3" t="s">
        <v>202</v>
      </c>
      <c r="E265" s="20">
        <v>100</v>
      </c>
      <c r="F265" s="3" t="s">
        <v>197</v>
      </c>
      <c r="G265" s="4">
        <v>0</v>
      </c>
      <c r="H265" s="4">
        <v>20000</v>
      </c>
      <c r="I265" s="4">
        <f t="shared" si="20"/>
        <v>0</v>
      </c>
      <c r="J265" s="4">
        <f t="shared" si="21"/>
        <v>2000000</v>
      </c>
      <c r="K265" s="4">
        <v>3500000</v>
      </c>
      <c r="L265" s="4">
        <f t="shared" si="22"/>
        <v>2000000</v>
      </c>
      <c r="M265" s="4">
        <f t="shared" si="23"/>
        <v>1500000</v>
      </c>
      <c r="N265" s="3" t="s">
        <v>203</v>
      </c>
      <c r="O265" s="3" t="s">
        <v>148</v>
      </c>
      <c r="P265" s="4">
        <f t="shared" si="24"/>
        <v>0</v>
      </c>
    </row>
    <row r="266" spans="1:16" x14ac:dyDescent="0.25">
      <c r="C266" s="1" t="s">
        <v>227</v>
      </c>
      <c r="I266" s="23">
        <f>SUM(I4:I265)</f>
        <v>1083391050</v>
      </c>
      <c r="J266" s="23">
        <f>SUM(J4:J265)</f>
        <v>857089129.33333325</v>
      </c>
      <c r="K266" s="23">
        <f>SUM(K4:K265)</f>
        <v>2820887470</v>
      </c>
      <c r="L266" s="23">
        <f>SUM(L4:L265)</f>
        <v>1940480179.3333335</v>
      </c>
      <c r="M266" s="23">
        <f>SUM(M4:M265)</f>
        <v>880407290.66666675</v>
      </c>
      <c r="P266" s="23">
        <f>SUM(P4:P265)</f>
        <v>7174566</v>
      </c>
    </row>
  </sheetData>
  <autoFilter ref="A3:P26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7"/>
  <sheetViews>
    <sheetView workbookViewId="0">
      <pane xSplit="2" ySplit="3" topLeftCell="C4" activePane="bottomRight" state="frozen"/>
      <selection pane="topRight"/>
      <selection pane="bottomLeft"/>
      <selection pane="bottomRight" activeCell="C10" sqref="C10"/>
    </sheetView>
  </sheetViews>
  <sheetFormatPr defaultRowHeight="15" x14ac:dyDescent="0.25"/>
  <cols>
    <col min="1" max="1" width="18" customWidth="1"/>
    <col min="2" max="2" width="40" customWidth="1"/>
    <col min="3" max="4" width="9" customWidth="1"/>
    <col min="5" max="8" width="13" customWidth="1"/>
    <col min="9" max="10" width="14" customWidth="1"/>
    <col min="11" max="11" width="15" customWidth="1"/>
    <col min="12" max="12" width="44" customWidth="1"/>
  </cols>
  <sheetData>
    <row r="1" spans="1:12" ht="17.25" x14ac:dyDescent="0.3">
      <c r="A1" s="14" t="s">
        <v>228</v>
      </c>
    </row>
    <row r="3" spans="1:12" ht="39.950000000000003" customHeight="1" x14ac:dyDescent="0.25">
      <c r="A3" s="2" t="s">
        <v>109</v>
      </c>
      <c r="B3" s="2" t="s">
        <v>134</v>
      </c>
      <c r="C3" s="2" t="s">
        <v>229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235</v>
      </c>
      <c r="J3" s="2" t="s">
        <v>236</v>
      </c>
      <c r="K3" s="2" t="s">
        <v>237</v>
      </c>
      <c r="L3" s="2" t="s">
        <v>12</v>
      </c>
    </row>
    <row r="4" spans="1:12" x14ac:dyDescent="0.25">
      <c r="A4" s="3" t="s">
        <v>122</v>
      </c>
      <c r="B4" s="3" t="s">
        <v>207</v>
      </c>
      <c r="C4" s="20">
        <v>1</v>
      </c>
      <c r="D4" s="20">
        <v>1</v>
      </c>
      <c r="E4" s="4">
        <v>9471000</v>
      </c>
      <c r="F4" s="4">
        <v>5781825</v>
      </c>
      <c r="G4" s="4">
        <v>1250000</v>
      </c>
      <c r="H4" s="4">
        <v>832812</v>
      </c>
      <c r="I4" s="4">
        <f t="shared" ref="I4:I35" si="0">E4+G4</f>
        <v>10721000</v>
      </c>
      <c r="J4" s="4">
        <f t="shared" ref="J4:J35" si="1">F4+H4</f>
        <v>6614637</v>
      </c>
      <c r="K4" s="4">
        <f t="shared" ref="K4:K35" si="2">J4-I4</f>
        <v>-4106363</v>
      </c>
      <c r="L4" s="3"/>
    </row>
    <row r="5" spans="1:12" x14ac:dyDescent="0.25">
      <c r="A5" s="3" t="s">
        <v>122</v>
      </c>
      <c r="B5" s="3" t="s">
        <v>149</v>
      </c>
      <c r="C5" s="20">
        <v>6</v>
      </c>
      <c r="D5" s="20">
        <v>6</v>
      </c>
      <c r="E5" s="4">
        <v>4464000</v>
      </c>
      <c r="F5" s="4">
        <v>1545300</v>
      </c>
      <c r="G5" s="4">
        <v>486000</v>
      </c>
      <c r="H5" s="4">
        <v>467329</v>
      </c>
      <c r="I5" s="4">
        <f t="shared" si="0"/>
        <v>4950000</v>
      </c>
      <c r="J5" s="4">
        <f t="shared" si="1"/>
        <v>2012629</v>
      </c>
      <c r="K5" s="4">
        <f t="shared" si="2"/>
        <v>-2937371</v>
      </c>
      <c r="L5" s="3"/>
    </row>
    <row r="6" spans="1:12" x14ac:dyDescent="0.25">
      <c r="A6" s="3" t="s">
        <v>122</v>
      </c>
      <c r="B6" s="3" t="s">
        <v>150</v>
      </c>
      <c r="C6" s="20">
        <v>6</v>
      </c>
      <c r="D6" s="20">
        <v>6</v>
      </c>
      <c r="E6" s="4">
        <v>2700000</v>
      </c>
      <c r="F6" s="4">
        <v>1239300</v>
      </c>
      <c r="G6" s="4">
        <v>486000</v>
      </c>
      <c r="H6" s="4">
        <v>1158901</v>
      </c>
      <c r="I6" s="4">
        <f t="shared" si="0"/>
        <v>3186000</v>
      </c>
      <c r="J6" s="4">
        <f t="shared" si="1"/>
        <v>2398201</v>
      </c>
      <c r="K6" s="4">
        <f t="shared" si="2"/>
        <v>-787799</v>
      </c>
      <c r="L6" s="3"/>
    </row>
    <row r="7" spans="1:12" x14ac:dyDescent="0.25">
      <c r="A7" s="3" t="s">
        <v>122</v>
      </c>
      <c r="B7" s="3" t="s">
        <v>151</v>
      </c>
      <c r="C7" s="20">
        <v>48</v>
      </c>
      <c r="D7" s="20">
        <v>48</v>
      </c>
      <c r="E7" s="4">
        <v>23040000</v>
      </c>
      <c r="F7" s="4">
        <v>21029448</v>
      </c>
      <c r="G7" s="4">
        <v>3888000</v>
      </c>
      <c r="H7" s="4">
        <v>2741141</v>
      </c>
      <c r="I7" s="4">
        <f t="shared" si="0"/>
        <v>26928000</v>
      </c>
      <c r="J7" s="4">
        <f t="shared" si="1"/>
        <v>23770589</v>
      </c>
      <c r="K7" s="4">
        <f t="shared" si="2"/>
        <v>-3157411</v>
      </c>
      <c r="L7" s="3"/>
    </row>
    <row r="8" spans="1:12" x14ac:dyDescent="0.25">
      <c r="A8" s="3" t="s">
        <v>122</v>
      </c>
      <c r="B8" s="3" t="s">
        <v>77</v>
      </c>
      <c r="C8" s="20">
        <v>12</v>
      </c>
      <c r="D8" s="20">
        <v>12</v>
      </c>
      <c r="E8" s="4">
        <v>1200000</v>
      </c>
      <c r="F8" s="4">
        <v>642600</v>
      </c>
      <c r="G8" s="4">
        <v>972000</v>
      </c>
      <c r="H8" s="4">
        <v>934658</v>
      </c>
      <c r="I8" s="4">
        <f t="shared" si="0"/>
        <v>2172000</v>
      </c>
      <c r="J8" s="4">
        <f t="shared" si="1"/>
        <v>1577258</v>
      </c>
      <c r="K8" s="4">
        <f t="shared" si="2"/>
        <v>-594742</v>
      </c>
      <c r="L8" s="3"/>
    </row>
    <row r="9" spans="1:12" x14ac:dyDescent="0.25">
      <c r="A9" s="3" t="s">
        <v>122</v>
      </c>
      <c r="B9" s="3" t="s">
        <v>153</v>
      </c>
      <c r="C9" s="20">
        <v>600</v>
      </c>
      <c r="D9" s="20">
        <v>600</v>
      </c>
      <c r="E9" s="4">
        <v>7200000</v>
      </c>
      <c r="F9" s="4">
        <v>11778000</v>
      </c>
      <c r="G9" s="4">
        <v>6000000</v>
      </c>
      <c r="H9" s="4">
        <v>4352400</v>
      </c>
      <c r="I9" s="4">
        <f t="shared" si="0"/>
        <v>13200000</v>
      </c>
      <c r="J9" s="4">
        <f t="shared" si="1"/>
        <v>16130400</v>
      </c>
      <c r="K9" s="4">
        <f t="shared" si="2"/>
        <v>2930400</v>
      </c>
      <c r="L9" s="3"/>
    </row>
    <row r="10" spans="1:12" x14ac:dyDescent="0.25">
      <c r="A10" s="3" t="s">
        <v>122</v>
      </c>
      <c r="B10" s="3" t="s">
        <v>154</v>
      </c>
      <c r="C10" s="20">
        <v>30</v>
      </c>
      <c r="D10" s="20">
        <v>30</v>
      </c>
      <c r="E10" s="4">
        <v>1350000</v>
      </c>
      <c r="F10" s="4">
        <v>1580100</v>
      </c>
      <c r="G10" s="4">
        <v>300000</v>
      </c>
      <c r="H10" s="4">
        <v>264930</v>
      </c>
      <c r="I10" s="4">
        <f t="shared" si="0"/>
        <v>1650000</v>
      </c>
      <c r="J10" s="4">
        <f t="shared" si="1"/>
        <v>1845030</v>
      </c>
      <c r="K10" s="4">
        <f t="shared" si="2"/>
        <v>195030</v>
      </c>
      <c r="L10" s="3"/>
    </row>
    <row r="11" spans="1:12" x14ac:dyDescent="0.25">
      <c r="A11" s="3" t="s">
        <v>122</v>
      </c>
      <c r="B11" s="3" t="s">
        <v>155</v>
      </c>
      <c r="C11" s="20">
        <v>200</v>
      </c>
      <c r="D11" s="20">
        <v>200</v>
      </c>
      <c r="E11" s="4">
        <v>3000000</v>
      </c>
      <c r="F11" s="4">
        <v>1789000</v>
      </c>
      <c r="G11" s="4">
        <v>5400000</v>
      </c>
      <c r="H11" s="4">
        <v>9492800</v>
      </c>
      <c r="I11" s="4">
        <f t="shared" si="0"/>
        <v>8400000</v>
      </c>
      <c r="J11" s="4">
        <f t="shared" si="1"/>
        <v>11281800</v>
      </c>
      <c r="K11" s="4">
        <f t="shared" si="2"/>
        <v>2881800</v>
      </c>
      <c r="L11" s="3"/>
    </row>
    <row r="12" spans="1:12" x14ac:dyDescent="0.25">
      <c r="A12" s="3" t="s">
        <v>122</v>
      </c>
      <c r="B12" s="3" t="s">
        <v>156</v>
      </c>
      <c r="C12" s="20">
        <v>1</v>
      </c>
      <c r="D12" s="20">
        <v>1</v>
      </c>
      <c r="E12" s="4">
        <v>850000</v>
      </c>
      <c r="F12" s="4">
        <v>282800</v>
      </c>
      <c r="G12" s="4">
        <v>500000</v>
      </c>
      <c r="H12" s="4">
        <v>100928</v>
      </c>
      <c r="I12" s="4">
        <f t="shared" si="0"/>
        <v>1350000</v>
      </c>
      <c r="J12" s="4">
        <f t="shared" si="1"/>
        <v>383728</v>
      </c>
      <c r="K12" s="4">
        <f t="shared" si="2"/>
        <v>-966272</v>
      </c>
      <c r="L12" s="3"/>
    </row>
    <row r="13" spans="1:12" ht="30" x14ac:dyDescent="0.25">
      <c r="A13" s="3" t="s">
        <v>122</v>
      </c>
      <c r="B13" s="3" t="s">
        <v>161</v>
      </c>
      <c r="C13" s="20">
        <v>1</v>
      </c>
      <c r="D13" s="20">
        <v>1</v>
      </c>
      <c r="E13" s="4">
        <v>2500000</v>
      </c>
      <c r="F13" s="4">
        <v>975635</v>
      </c>
      <c r="G13" s="4">
        <v>1000000</v>
      </c>
      <c r="H13" s="4">
        <v>110390</v>
      </c>
      <c r="I13" s="4">
        <f t="shared" si="0"/>
        <v>3500000</v>
      </c>
      <c r="J13" s="4">
        <f t="shared" si="1"/>
        <v>1086025</v>
      </c>
      <c r="K13" s="4">
        <f t="shared" si="2"/>
        <v>-2413975</v>
      </c>
      <c r="L13" s="3"/>
    </row>
    <row r="14" spans="1:12" x14ac:dyDescent="0.25">
      <c r="A14" s="3" t="s">
        <v>122</v>
      </c>
      <c r="B14" s="3" t="s">
        <v>75</v>
      </c>
      <c r="C14" s="20">
        <v>60</v>
      </c>
      <c r="D14" s="20">
        <v>60</v>
      </c>
      <c r="E14" s="4">
        <v>13200000</v>
      </c>
      <c r="F14" s="4">
        <v>7690560</v>
      </c>
      <c r="G14" s="4">
        <v>7980000</v>
      </c>
      <c r="H14" s="4">
        <v>5178180</v>
      </c>
      <c r="I14" s="4">
        <f t="shared" si="0"/>
        <v>21180000</v>
      </c>
      <c r="J14" s="4">
        <f t="shared" si="1"/>
        <v>12868740</v>
      </c>
      <c r="K14" s="4">
        <f t="shared" si="2"/>
        <v>-8311260</v>
      </c>
      <c r="L14" s="3"/>
    </row>
    <row r="15" spans="1:12" x14ac:dyDescent="0.25">
      <c r="A15" s="3" t="s">
        <v>122</v>
      </c>
      <c r="B15" s="3" t="s">
        <v>74</v>
      </c>
      <c r="C15" s="20">
        <v>40</v>
      </c>
      <c r="D15" s="20">
        <v>40</v>
      </c>
      <c r="E15" s="4">
        <v>7200000</v>
      </c>
      <c r="F15" s="4">
        <v>4016160</v>
      </c>
      <c r="G15" s="4">
        <v>4040000</v>
      </c>
      <c r="H15" s="4">
        <v>3172880</v>
      </c>
      <c r="I15" s="4">
        <f t="shared" si="0"/>
        <v>11240000</v>
      </c>
      <c r="J15" s="4">
        <f t="shared" si="1"/>
        <v>7189040</v>
      </c>
      <c r="K15" s="4">
        <f t="shared" si="2"/>
        <v>-4050960</v>
      </c>
      <c r="L15" s="3"/>
    </row>
    <row r="16" spans="1:12" x14ac:dyDescent="0.25">
      <c r="A16" s="24" t="s">
        <v>122</v>
      </c>
      <c r="B16" s="24" t="s">
        <v>162</v>
      </c>
      <c r="C16" s="31">
        <v>15</v>
      </c>
      <c r="D16" s="31">
        <v>15</v>
      </c>
      <c r="E16" s="10">
        <v>1521000</v>
      </c>
      <c r="F16" s="10">
        <v>9833415</v>
      </c>
      <c r="G16" s="10">
        <v>360000</v>
      </c>
      <c r="H16" s="10">
        <v>1540470</v>
      </c>
      <c r="I16" s="10">
        <f t="shared" si="0"/>
        <v>1881000</v>
      </c>
      <c r="J16" s="10">
        <f t="shared" si="1"/>
        <v>11373885</v>
      </c>
      <c r="K16" s="10">
        <f t="shared" si="2"/>
        <v>9492885</v>
      </c>
      <c r="L16" s="24" t="s">
        <v>238</v>
      </c>
    </row>
    <row r="17" spans="1:12" x14ac:dyDescent="0.25">
      <c r="A17" s="3" t="s">
        <v>122</v>
      </c>
      <c r="B17" s="3" t="s">
        <v>163</v>
      </c>
      <c r="C17" s="20">
        <v>40</v>
      </c>
      <c r="D17" s="20">
        <v>40</v>
      </c>
      <c r="E17" s="4">
        <v>2880000</v>
      </c>
      <c r="F17" s="4">
        <v>2183400</v>
      </c>
      <c r="G17" s="4">
        <v>640000</v>
      </c>
      <c r="H17" s="4">
        <v>3529440</v>
      </c>
      <c r="I17" s="4">
        <f t="shared" si="0"/>
        <v>3520000</v>
      </c>
      <c r="J17" s="4">
        <f t="shared" si="1"/>
        <v>5712840</v>
      </c>
      <c r="K17" s="4">
        <f t="shared" si="2"/>
        <v>2192840</v>
      </c>
      <c r="L17" s="3"/>
    </row>
    <row r="18" spans="1:12" x14ac:dyDescent="0.25">
      <c r="A18" s="3" t="s">
        <v>122</v>
      </c>
      <c r="B18" s="3" t="s">
        <v>164</v>
      </c>
      <c r="C18" s="20">
        <v>10</v>
      </c>
      <c r="D18" s="20">
        <v>10</v>
      </c>
      <c r="E18" s="4">
        <v>1620000</v>
      </c>
      <c r="F18" s="4">
        <v>1705120</v>
      </c>
      <c r="G18" s="4">
        <v>340000</v>
      </c>
      <c r="H18" s="4">
        <v>1026980</v>
      </c>
      <c r="I18" s="4">
        <f t="shared" si="0"/>
        <v>1960000</v>
      </c>
      <c r="J18" s="4">
        <f t="shared" si="1"/>
        <v>2732100</v>
      </c>
      <c r="K18" s="4">
        <f t="shared" si="2"/>
        <v>772100</v>
      </c>
      <c r="L18" s="3"/>
    </row>
    <row r="19" spans="1:12" x14ac:dyDescent="0.25">
      <c r="A19" s="3" t="s">
        <v>122</v>
      </c>
      <c r="B19" s="3" t="s">
        <v>165</v>
      </c>
      <c r="C19" s="20">
        <v>10</v>
      </c>
      <c r="D19" s="20">
        <v>10</v>
      </c>
      <c r="E19" s="4">
        <v>1380000</v>
      </c>
      <c r="F19" s="4">
        <v>1527630</v>
      </c>
      <c r="G19" s="4">
        <v>230000</v>
      </c>
      <c r="H19" s="4">
        <v>1119290</v>
      </c>
      <c r="I19" s="4">
        <f t="shared" si="0"/>
        <v>1610000</v>
      </c>
      <c r="J19" s="4">
        <f t="shared" si="1"/>
        <v>2646920</v>
      </c>
      <c r="K19" s="4">
        <f t="shared" si="2"/>
        <v>1036920</v>
      </c>
      <c r="L19" s="3"/>
    </row>
    <row r="20" spans="1:12" ht="30" x14ac:dyDescent="0.25">
      <c r="A20" s="3" t="s">
        <v>122</v>
      </c>
      <c r="B20" s="3" t="s">
        <v>166</v>
      </c>
      <c r="C20" s="20">
        <v>20</v>
      </c>
      <c r="D20" s="20">
        <v>20</v>
      </c>
      <c r="E20" s="4">
        <v>3000000</v>
      </c>
      <c r="F20" s="4">
        <v>2480420</v>
      </c>
      <c r="G20" s="4">
        <v>3240000</v>
      </c>
      <c r="H20" s="4">
        <v>1498540</v>
      </c>
      <c r="I20" s="4">
        <f t="shared" si="0"/>
        <v>6240000</v>
      </c>
      <c r="J20" s="4">
        <f t="shared" si="1"/>
        <v>3978960</v>
      </c>
      <c r="K20" s="4">
        <f t="shared" si="2"/>
        <v>-2261040</v>
      </c>
      <c r="L20" s="3" t="s">
        <v>239</v>
      </c>
    </row>
    <row r="21" spans="1:12" x14ac:dyDescent="0.25">
      <c r="A21" s="24" t="s">
        <v>122</v>
      </c>
      <c r="B21" s="24" t="s">
        <v>167</v>
      </c>
      <c r="C21" s="31">
        <v>10</v>
      </c>
      <c r="D21" s="31">
        <v>100</v>
      </c>
      <c r="E21" s="10">
        <v>350000</v>
      </c>
      <c r="F21" s="10">
        <v>1459400</v>
      </c>
      <c r="G21" s="10">
        <v>140000</v>
      </c>
      <c r="H21" s="10">
        <v>921000</v>
      </c>
      <c r="I21" s="10">
        <f t="shared" si="0"/>
        <v>490000</v>
      </c>
      <c r="J21" s="10">
        <f t="shared" si="1"/>
        <v>2380400</v>
      </c>
      <c r="K21" s="10">
        <f t="shared" si="2"/>
        <v>1890400</v>
      </c>
      <c r="L21" s="24" t="s">
        <v>240</v>
      </c>
    </row>
    <row r="22" spans="1:12" x14ac:dyDescent="0.25">
      <c r="A22" s="3" t="s">
        <v>122</v>
      </c>
      <c r="B22" s="3" t="s">
        <v>168</v>
      </c>
      <c r="C22" s="20">
        <v>5</v>
      </c>
      <c r="D22" s="20">
        <v>5</v>
      </c>
      <c r="E22" s="4">
        <v>2030000</v>
      </c>
      <c r="F22" s="4">
        <v>5044505</v>
      </c>
      <c r="G22" s="4">
        <v>530000</v>
      </c>
      <c r="H22" s="4">
        <v>788500</v>
      </c>
      <c r="I22" s="4">
        <f t="shared" si="0"/>
        <v>2560000</v>
      </c>
      <c r="J22" s="4">
        <f t="shared" si="1"/>
        <v>5833005</v>
      </c>
      <c r="K22" s="4">
        <f t="shared" si="2"/>
        <v>3273005</v>
      </c>
      <c r="L22" s="3"/>
    </row>
    <row r="23" spans="1:12" x14ac:dyDescent="0.25">
      <c r="A23" s="3" t="s">
        <v>122</v>
      </c>
      <c r="B23" s="3" t="s">
        <v>169</v>
      </c>
      <c r="C23" s="20">
        <v>2</v>
      </c>
      <c r="D23" s="20">
        <v>2</v>
      </c>
      <c r="E23" s="4">
        <v>1596000</v>
      </c>
      <c r="F23" s="4">
        <v>3320012</v>
      </c>
      <c r="G23" s="4">
        <v>324000</v>
      </c>
      <c r="H23" s="4">
        <v>157700</v>
      </c>
      <c r="I23" s="4">
        <f t="shared" si="0"/>
        <v>1920000</v>
      </c>
      <c r="J23" s="4">
        <f t="shared" si="1"/>
        <v>3477712</v>
      </c>
      <c r="K23" s="4">
        <f t="shared" si="2"/>
        <v>1557712</v>
      </c>
      <c r="L23" s="3"/>
    </row>
    <row r="24" spans="1:12" x14ac:dyDescent="0.25">
      <c r="A24" s="3" t="s">
        <v>122</v>
      </c>
      <c r="B24" s="3" t="s">
        <v>170</v>
      </c>
      <c r="C24" s="20">
        <v>2</v>
      </c>
      <c r="D24" s="20">
        <v>2</v>
      </c>
      <c r="E24" s="4">
        <v>1488000</v>
      </c>
      <c r="F24" s="4">
        <v>3200820</v>
      </c>
      <c r="G24" s="4">
        <v>256000</v>
      </c>
      <c r="H24" s="4">
        <v>239704</v>
      </c>
      <c r="I24" s="4">
        <f t="shared" si="0"/>
        <v>1744000</v>
      </c>
      <c r="J24" s="4">
        <f t="shared" si="1"/>
        <v>3440524</v>
      </c>
      <c r="K24" s="4">
        <f t="shared" si="2"/>
        <v>1696524</v>
      </c>
      <c r="L24" s="3"/>
    </row>
    <row r="25" spans="1:12" x14ac:dyDescent="0.25">
      <c r="A25" s="3" t="s">
        <v>122</v>
      </c>
      <c r="B25" s="3" t="s">
        <v>171</v>
      </c>
      <c r="C25" s="20">
        <v>4</v>
      </c>
      <c r="D25" s="20">
        <v>4</v>
      </c>
      <c r="E25" s="4">
        <v>1352000</v>
      </c>
      <c r="F25" s="4">
        <v>7176716</v>
      </c>
      <c r="G25" s="4">
        <v>512000</v>
      </c>
      <c r="H25" s="4">
        <v>479408</v>
      </c>
      <c r="I25" s="4">
        <f t="shared" si="0"/>
        <v>1864000</v>
      </c>
      <c r="J25" s="4">
        <f t="shared" si="1"/>
        <v>7656124</v>
      </c>
      <c r="K25" s="4">
        <f t="shared" si="2"/>
        <v>5792124</v>
      </c>
      <c r="L25" s="3"/>
    </row>
    <row r="26" spans="1:12" ht="30" x14ac:dyDescent="0.25">
      <c r="A26" s="3" t="s">
        <v>122</v>
      </c>
      <c r="B26" s="3" t="s">
        <v>172</v>
      </c>
      <c r="C26" s="20">
        <v>2</v>
      </c>
      <c r="D26" s="20">
        <v>2</v>
      </c>
      <c r="E26" s="4">
        <v>1700000</v>
      </c>
      <c r="F26" s="4">
        <v>1200120</v>
      </c>
      <c r="G26" s="4">
        <v>148000</v>
      </c>
      <c r="H26" s="4">
        <v>536180</v>
      </c>
      <c r="I26" s="4">
        <f t="shared" si="0"/>
        <v>1848000</v>
      </c>
      <c r="J26" s="4">
        <f t="shared" si="1"/>
        <v>1736300</v>
      </c>
      <c r="K26" s="4">
        <f t="shared" si="2"/>
        <v>-111700</v>
      </c>
      <c r="L26" s="3" t="s">
        <v>241</v>
      </c>
    </row>
    <row r="27" spans="1:12" x14ac:dyDescent="0.25">
      <c r="A27" s="3" t="s">
        <v>122</v>
      </c>
      <c r="B27" s="3" t="s">
        <v>173</v>
      </c>
      <c r="C27" s="20">
        <v>2</v>
      </c>
      <c r="D27" s="20">
        <v>2</v>
      </c>
      <c r="E27" s="4">
        <v>1358000</v>
      </c>
      <c r="F27" s="4">
        <v>3680048</v>
      </c>
      <c r="G27" s="4">
        <v>270000</v>
      </c>
      <c r="H27" s="4">
        <v>157700</v>
      </c>
      <c r="I27" s="4">
        <f t="shared" si="0"/>
        <v>1628000</v>
      </c>
      <c r="J27" s="4">
        <f t="shared" si="1"/>
        <v>3837748</v>
      </c>
      <c r="K27" s="4">
        <f t="shared" si="2"/>
        <v>2209748</v>
      </c>
      <c r="L27" s="3"/>
    </row>
    <row r="28" spans="1:12" x14ac:dyDescent="0.25">
      <c r="A28" s="3" t="s">
        <v>122</v>
      </c>
      <c r="B28" s="3" t="s">
        <v>79</v>
      </c>
      <c r="C28" s="20">
        <v>1</v>
      </c>
      <c r="D28" s="20">
        <v>1</v>
      </c>
      <c r="E28" s="4">
        <v>3850000</v>
      </c>
      <c r="F28" s="4">
        <v>1153955</v>
      </c>
      <c r="G28" s="4">
        <v>338000</v>
      </c>
      <c r="H28" s="4">
        <v>31540</v>
      </c>
      <c r="I28" s="4">
        <f t="shared" si="0"/>
        <v>4188000</v>
      </c>
      <c r="J28" s="4">
        <f t="shared" si="1"/>
        <v>1185495</v>
      </c>
      <c r="K28" s="4">
        <f t="shared" si="2"/>
        <v>-3002505</v>
      </c>
      <c r="L28" s="3"/>
    </row>
    <row r="29" spans="1:12" x14ac:dyDescent="0.25">
      <c r="A29" s="3" t="s">
        <v>122</v>
      </c>
      <c r="B29" s="3" t="s">
        <v>174</v>
      </c>
      <c r="C29" s="20">
        <v>2</v>
      </c>
      <c r="D29" s="20">
        <v>2</v>
      </c>
      <c r="E29" s="4">
        <v>500000</v>
      </c>
      <c r="F29" s="4">
        <v>528332</v>
      </c>
      <c r="G29" s="4">
        <v>136000</v>
      </c>
      <c r="H29" s="4">
        <v>63080</v>
      </c>
      <c r="I29" s="4">
        <f t="shared" si="0"/>
        <v>636000</v>
      </c>
      <c r="J29" s="4">
        <f t="shared" si="1"/>
        <v>591412</v>
      </c>
      <c r="K29" s="4">
        <f t="shared" si="2"/>
        <v>-44588</v>
      </c>
      <c r="L29" s="3"/>
    </row>
    <row r="30" spans="1:12" x14ac:dyDescent="0.25">
      <c r="A30" s="3" t="s">
        <v>122</v>
      </c>
      <c r="B30" s="3" t="s">
        <v>175</v>
      </c>
      <c r="C30" s="20">
        <v>1</v>
      </c>
      <c r="D30" s="20">
        <v>1</v>
      </c>
      <c r="E30" s="4">
        <v>9850000</v>
      </c>
      <c r="F30" s="4">
        <v>6500000</v>
      </c>
      <c r="G30" s="4">
        <v>677000</v>
      </c>
      <c r="H30" s="4">
        <v>482562</v>
      </c>
      <c r="I30" s="4">
        <f t="shared" si="0"/>
        <v>10527000</v>
      </c>
      <c r="J30" s="4">
        <f t="shared" si="1"/>
        <v>6982562</v>
      </c>
      <c r="K30" s="4">
        <f t="shared" si="2"/>
        <v>-3544438</v>
      </c>
      <c r="L30" s="3"/>
    </row>
    <row r="31" spans="1:12" ht="30" x14ac:dyDescent="0.25">
      <c r="A31" s="3" t="s">
        <v>122</v>
      </c>
      <c r="B31" s="3" t="s">
        <v>182</v>
      </c>
      <c r="C31" s="20">
        <v>6</v>
      </c>
      <c r="D31" s="20">
        <v>6</v>
      </c>
      <c r="E31" s="4">
        <v>3246000</v>
      </c>
      <c r="F31" s="4">
        <v>2016000</v>
      </c>
      <c r="G31" s="4">
        <v>2844000</v>
      </c>
      <c r="H31" s="4">
        <v>569562</v>
      </c>
      <c r="I31" s="4">
        <f t="shared" si="0"/>
        <v>6090000</v>
      </c>
      <c r="J31" s="4">
        <f t="shared" si="1"/>
        <v>2585562</v>
      </c>
      <c r="K31" s="4">
        <f t="shared" si="2"/>
        <v>-3504438</v>
      </c>
      <c r="L31" s="3"/>
    </row>
    <row r="32" spans="1:12" ht="30" x14ac:dyDescent="0.25">
      <c r="A32" s="3" t="s">
        <v>122</v>
      </c>
      <c r="B32" s="3" t="s">
        <v>183</v>
      </c>
      <c r="C32" s="20">
        <v>6</v>
      </c>
      <c r="D32" s="20">
        <v>6</v>
      </c>
      <c r="E32" s="4">
        <v>4464000</v>
      </c>
      <c r="F32" s="4">
        <v>3360000</v>
      </c>
      <c r="G32" s="4">
        <v>528000</v>
      </c>
      <c r="H32" s="4">
        <v>0</v>
      </c>
      <c r="I32" s="4">
        <f t="shared" si="0"/>
        <v>4992000</v>
      </c>
      <c r="J32" s="4">
        <f t="shared" si="1"/>
        <v>3360000</v>
      </c>
      <c r="K32" s="4">
        <f t="shared" si="2"/>
        <v>-1632000</v>
      </c>
      <c r="L32" s="3" t="s">
        <v>242</v>
      </c>
    </row>
    <row r="33" spans="1:12" x14ac:dyDescent="0.25">
      <c r="A33" s="3" t="s">
        <v>122</v>
      </c>
      <c r="B33" s="3" t="s">
        <v>186</v>
      </c>
      <c r="C33" s="20">
        <v>6</v>
      </c>
      <c r="D33" s="20">
        <v>6</v>
      </c>
      <c r="E33" s="4">
        <v>2028000</v>
      </c>
      <c r="F33" s="4">
        <v>1544796</v>
      </c>
      <c r="G33" s="4">
        <v>972000</v>
      </c>
      <c r="H33" s="4">
        <v>397404</v>
      </c>
      <c r="I33" s="4">
        <f t="shared" si="0"/>
        <v>3000000</v>
      </c>
      <c r="J33" s="4">
        <f t="shared" si="1"/>
        <v>1942200</v>
      </c>
      <c r="K33" s="4">
        <f t="shared" si="2"/>
        <v>-1057800</v>
      </c>
      <c r="L33" s="3"/>
    </row>
    <row r="34" spans="1:12" x14ac:dyDescent="0.25">
      <c r="A34" s="3" t="s">
        <v>122</v>
      </c>
      <c r="B34" s="3" t="s">
        <v>190</v>
      </c>
      <c r="C34" s="20">
        <v>1</v>
      </c>
      <c r="D34" s="20">
        <v>1</v>
      </c>
      <c r="E34" s="4">
        <v>500000</v>
      </c>
      <c r="F34" s="4">
        <v>359550</v>
      </c>
      <c r="G34" s="4">
        <v>81000</v>
      </c>
      <c r="H34" s="4">
        <v>77888</v>
      </c>
      <c r="I34" s="4">
        <f t="shared" si="0"/>
        <v>581000</v>
      </c>
      <c r="J34" s="4">
        <f t="shared" si="1"/>
        <v>437438</v>
      </c>
      <c r="K34" s="4">
        <f t="shared" si="2"/>
        <v>-143562</v>
      </c>
      <c r="L34" s="3"/>
    </row>
    <row r="35" spans="1:12" x14ac:dyDescent="0.25">
      <c r="A35" s="3" t="s">
        <v>122</v>
      </c>
      <c r="B35" s="3" t="s">
        <v>208</v>
      </c>
      <c r="C35" s="20">
        <v>1</v>
      </c>
      <c r="D35" s="20">
        <v>1</v>
      </c>
      <c r="E35" s="4">
        <v>380000</v>
      </c>
      <c r="F35" s="4">
        <v>212625</v>
      </c>
      <c r="G35" s="4">
        <v>100000</v>
      </c>
      <c r="H35" s="4">
        <v>94915</v>
      </c>
      <c r="I35" s="4">
        <f t="shared" si="0"/>
        <v>480000</v>
      </c>
      <c r="J35" s="4">
        <f t="shared" si="1"/>
        <v>307540</v>
      </c>
      <c r="K35" s="4">
        <f t="shared" si="2"/>
        <v>-172460</v>
      </c>
      <c r="L35" s="3"/>
    </row>
    <row r="36" spans="1:12" x14ac:dyDescent="0.25">
      <c r="A36" s="3" t="s">
        <v>122</v>
      </c>
      <c r="B36" s="3" t="s">
        <v>193</v>
      </c>
      <c r="C36" s="20">
        <v>100</v>
      </c>
      <c r="D36" s="20">
        <v>100</v>
      </c>
      <c r="E36" s="4">
        <v>38000000</v>
      </c>
      <c r="F36" s="4">
        <v>28106400</v>
      </c>
      <c r="G36" s="4">
        <v>1800000</v>
      </c>
      <c r="H36" s="4">
        <v>309100</v>
      </c>
      <c r="I36" s="4">
        <f t="shared" ref="I36:I67" si="3">E36+G36</f>
        <v>39800000</v>
      </c>
      <c r="J36" s="4">
        <f t="shared" ref="J36:J67" si="4">F36+H36</f>
        <v>28415500</v>
      </c>
      <c r="K36" s="4">
        <f t="shared" ref="K36:K67" si="5">J36-I36</f>
        <v>-11384500</v>
      </c>
      <c r="L36" s="3"/>
    </row>
    <row r="37" spans="1:12" x14ac:dyDescent="0.25">
      <c r="A37" s="3" t="s">
        <v>122</v>
      </c>
      <c r="B37" s="3" t="s">
        <v>87</v>
      </c>
      <c r="C37" s="20">
        <v>100</v>
      </c>
      <c r="D37" s="20">
        <v>100</v>
      </c>
      <c r="E37" s="4">
        <v>2500000</v>
      </c>
      <c r="F37" s="4">
        <v>1202000</v>
      </c>
      <c r="G37" s="4">
        <v>1000000</v>
      </c>
      <c r="H37" s="4">
        <v>2195400</v>
      </c>
      <c r="I37" s="4">
        <f t="shared" si="3"/>
        <v>3500000</v>
      </c>
      <c r="J37" s="4">
        <f t="shared" si="4"/>
        <v>3397400</v>
      </c>
      <c r="K37" s="4">
        <f t="shared" si="5"/>
        <v>-102600</v>
      </c>
      <c r="L37" s="3"/>
    </row>
    <row r="38" spans="1:12" ht="30" x14ac:dyDescent="0.25">
      <c r="A38" s="3" t="s">
        <v>122</v>
      </c>
      <c r="B38" s="3" t="s">
        <v>243</v>
      </c>
      <c r="C38" s="20">
        <v>2</v>
      </c>
      <c r="D38" s="20">
        <v>2</v>
      </c>
      <c r="E38" s="4">
        <v>0</v>
      </c>
      <c r="F38" s="4">
        <v>6196</v>
      </c>
      <c r="G38" s="4">
        <v>9472000</v>
      </c>
      <c r="H38" s="4">
        <v>1915004</v>
      </c>
      <c r="I38" s="4">
        <f t="shared" si="3"/>
        <v>9472000</v>
      </c>
      <c r="J38" s="4">
        <f t="shared" si="4"/>
        <v>1921200</v>
      </c>
      <c r="K38" s="4">
        <f t="shared" si="5"/>
        <v>-7550800</v>
      </c>
      <c r="L38" s="3" t="s">
        <v>244</v>
      </c>
    </row>
    <row r="39" spans="1:12" ht="30" x14ac:dyDescent="0.25">
      <c r="A39" s="3" t="s">
        <v>122</v>
      </c>
      <c r="B39" s="3" t="s">
        <v>245</v>
      </c>
      <c r="C39" s="20">
        <v>26</v>
      </c>
      <c r="D39" s="20"/>
      <c r="E39" s="4">
        <v>84090000</v>
      </c>
      <c r="F39" s="4">
        <v>0</v>
      </c>
      <c r="G39" s="4">
        <v>750000</v>
      </c>
      <c r="H39" s="4">
        <v>0</v>
      </c>
      <c r="I39" s="4">
        <f t="shared" si="3"/>
        <v>84840000</v>
      </c>
      <c r="J39" s="4">
        <f t="shared" si="4"/>
        <v>0</v>
      </c>
      <c r="K39" s="4">
        <f t="shared" si="5"/>
        <v>-84840000</v>
      </c>
      <c r="L39" s="3" t="s">
        <v>246</v>
      </c>
    </row>
    <row r="40" spans="1:12" x14ac:dyDescent="0.25">
      <c r="A40" s="3" t="s">
        <v>122</v>
      </c>
      <c r="B40" s="3" t="s">
        <v>247</v>
      </c>
      <c r="C40" s="20"/>
      <c r="D40" s="20"/>
      <c r="E40" s="4">
        <v>12292900</v>
      </c>
      <c r="F40" s="4">
        <v>0</v>
      </c>
      <c r="G40" s="4">
        <v>2899500</v>
      </c>
      <c r="H40" s="4">
        <v>0</v>
      </c>
      <c r="I40" s="4">
        <f t="shared" si="3"/>
        <v>15192400</v>
      </c>
      <c r="J40" s="4">
        <f t="shared" si="4"/>
        <v>0</v>
      </c>
      <c r="K40" s="4">
        <f t="shared" si="5"/>
        <v>-15192400</v>
      </c>
      <c r="L40" s="3" t="s">
        <v>248</v>
      </c>
    </row>
    <row r="41" spans="1:12" ht="30" x14ac:dyDescent="0.25">
      <c r="A41" s="3" t="s">
        <v>122</v>
      </c>
      <c r="B41" s="3" t="s">
        <v>249</v>
      </c>
      <c r="C41" s="20"/>
      <c r="D41" s="20"/>
      <c r="E41" s="4">
        <v>5500000</v>
      </c>
      <c r="F41" s="4">
        <v>0</v>
      </c>
      <c r="G41" s="4">
        <v>54436000</v>
      </c>
      <c r="H41" s="4">
        <v>0</v>
      </c>
      <c r="I41" s="4">
        <f t="shared" si="3"/>
        <v>59936000</v>
      </c>
      <c r="J41" s="4">
        <f t="shared" si="4"/>
        <v>0</v>
      </c>
      <c r="K41" s="4">
        <f t="shared" si="5"/>
        <v>-59936000</v>
      </c>
      <c r="L41" s="3" t="s">
        <v>250</v>
      </c>
    </row>
    <row r="42" spans="1:12" x14ac:dyDescent="0.25">
      <c r="A42" s="3" t="s">
        <v>123</v>
      </c>
      <c r="B42" s="3" t="s">
        <v>146</v>
      </c>
      <c r="C42" s="20">
        <v>1</v>
      </c>
      <c r="D42" s="20">
        <v>1</v>
      </c>
      <c r="E42" s="4">
        <v>11500000</v>
      </c>
      <c r="F42" s="4">
        <v>6831825</v>
      </c>
      <c r="G42" s="4">
        <v>1353000</v>
      </c>
      <c r="H42" s="4">
        <v>832812</v>
      </c>
      <c r="I42" s="4">
        <f t="shared" si="3"/>
        <v>12853000</v>
      </c>
      <c r="J42" s="4">
        <f t="shared" si="4"/>
        <v>7664637</v>
      </c>
      <c r="K42" s="4">
        <f t="shared" si="5"/>
        <v>-5188363</v>
      </c>
      <c r="L42" s="3"/>
    </row>
    <row r="43" spans="1:12" x14ac:dyDescent="0.25">
      <c r="A43" s="3" t="s">
        <v>123</v>
      </c>
      <c r="B43" s="3" t="s">
        <v>149</v>
      </c>
      <c r="C43" s="20">
        <v>6</v>
      </c>
      <c r="D43" s="20">
        <v>6</v>
      </c>
      <c r="E43" s="4">
        <v>4464000</v>
      </c>
      <c r="F43" s="4">
        <v>1545300</v>
      </c>
      <c r="G43" s="4">
        <v>486000</v>
      </c>
      <c r="H43" s="4">
        <v>467329</v>
      </c>
      <c r="I43" s="4">
        <f t="shared" si="3"/>
        <v>4950000</v>
      </c>
      <c r="J43" s="4">
        <f t="shared" si="4"/>
        <v>2012629</v>
      </c>
      <c r="K43" s="4">
        <f t="shared" si="5"/>
        <v>-2937371</v>
      </c>
      <c r="L43" s="3"/>
    </row>
    <row r="44" spans="1:12" x14ac:dyDescent="0.25">
      <c r="A44" s="3" t="s">
        <v>123</v>
      </c>
      <c r="B44" s="3" t="s">
        <v>150</v>
      </c>
      <c r="C44" s="20">
        <v>6</v>
      </c>
      <c r="D44" s="20">
        <v>6</v>
      </c>
      <c r="E44" s="4">
        <v>2700000</v>
      </c>
      <c r="F44" s="4">
        <v>1239300</v>
      </c>
      <c r="G44" s="4">
        <v>486000</v>
      </c>
      <c r="H44" s="4">
        <v>1158901</v>
      </c>
      <c r="I44" s="4">
        <f t="shared" si="3"/>
        <v>3186000</v>
      </c>
      <c r="J44" s="4">
        <f t="shared" si="4"/>
        <v>2398201</v>
      </c>
      <c r="K44" s="4">
        <f t="shared" si="5"/>
        <v>-787799</v>
      </c>
      <c r="L44" s="3"/>
    </row>
    <row r="45" spans="1:12" x14ac:dyDescent="0.25">
      <c r="A45" s="3" t="s">
        <v>123</v>
      </c>
      <c r="B45" s="3" t="s">
        <v>151</v>
      </c>
      <c r="C45" s="20">
        <v>60</v>
      </c>
      <c r="D45" s="20">
        <v>60</v>
      </c>
      <c r="E45" s="4">
        <v>28800000</v>
      </c>
      <c r="F45" s="4">
        <v>26286810</v>
      </c>
      <c r="G45" s="4">
        <v>4860000</v>
      </c>
      <c r="H45" s="4">
        <v>3426426</v>
      </c>
      <c r="I45" s="4">
        <f t="shared" si="3"/>
        <v>33660000</v>
      </c>
      <c r="J45" s="4">
        <f t="shared" si="4"/>
        <v>29713236</v>
      </c>
      <c r="K45" s="4">
        <f t="shared" si="5"/>
        <v>-3946764</v>
      </c>
      <c r="L45" s="3"/>
    </row>
    <row r="46" spans="1:12" x14ac:dyDescent="0.25">
      <c r="A46" s="3" t="s">
        <v>123</v>
      </c>
      <c r="B46" s="3" t="s">
        <v>77</v>
      </c>
      <c r="C46" s="20">
        <v>20</v>
      </c>
      <c r="D46" s="20">
        <v>20</v>
      </c>
      <c r="E46" s="4">
        <v>2000000</v>
      </c>
      <c r="F46" s="4">
        <v>1071000</v>
      </c>
      <c r="G46" s="4">
        <v>1620000</v>
      </c>
      <c r="H46" s="4">
        <v>1557764</v>
      </c>
      <c r="I46" s="4">
        <f t="shared" si="3"/>
        <v>3620000</v>
      </c>
      <c r="J46" s="4">
        <f t="shared" si="4"/>
        <v>2628764</v>
      </c>
      <c r="K46" s="4">
        <f t="shared" si="5"/>
        <v>-991236</v>
      </c>
      <c r="L46" s="3"/>
    </row>
    <row r="47" spans="1:12" x14ac:dyDescent="0.25">
      <c r="A47" s="3" t="s">
        <v>123</v>
      </c>
      <c r="B47" s="3" t="s">
        <v>153</v>
      </c>
      <c r="C47" s="20">
        <v>700</v>
      </c>
      <c r="D47" s="20">
        <v>700</v>
      </c>
      <c r="E47" s="4">
        <v>8400000</v>
      </c>
      <c r="F47" s="4">
        <v>13741000</v>
      </c>
      <c r="G47" s="4">
        <v>7000000</v>
      </c>
      <c r="H47" s="4">
        <v>5077800</v>
      </c>
      <c r="I47" s="4">
        <f t="shared" si="3"/>
        <v>15400000</v>
      </c>
      <c r="J47" s="4">
        <f t="shared" si="4"/>
        <v>18818800</v>
      </c>
      <c r="K47" s="4">
        <f t="shared" si="5"/>
        <v>3418800</v>
      </c>
      <c r="L47" s="3"/>
    </row>
    <row r="48" spans="1:12" x14ac:dyDescent="0.25">
      <c r="A48" s="3" t="s">
        <v>123</v>
      </c>
      <c r="B48" s="3" t="s">
        <v>154</v>
      </c>
      <c r="C48" s="20">
        <v>150</v>
      </c>
      <c r="D48" s="20">
        <v>150</v>
      </c>
      <c r="E48" s="4">
        <v>6750000</v>
      </c>
      <c r="F48" s="4">
        <v>7900500</v>
      </c>
      <c r="G48" s="4">
        <v>1500000</v>
      </c>
      <c r="H48" s="4">
        <v>1324650</v>
      </c>
      <c r="I48" s="4">
        <f t="shared" si="3"/>
        <v>8250000</v>
      </c>
      <c r="J48" s="4">
        <f t="shared" si="4"/>
        <v>9225150</v>
      </c>
      <c r="K48" s="4">
        <f t="shared" si="5"/>
        <v>975150</v>
      </c>
      <c r="L48" s="3"/>
    </row>
    <row r="49" spans="1:12" x14ac:dyDescent="0.25">
      <c r="A49" s="3" t="s">
        <v>123</v>
      </c>
      <c r="B49" s="3" t="s">
        <v>155</v>
      </c>
      <c r="C49" s="20">
        <v>300</v>
      </c>
      <c r="D49" s="20">
        <v>300</v>
      </c>
      <c r="E49" s="4">
        <v>4500000</v>
      </c>
      <c r="F49" s="4">
        <v>2683500</v>
      </c>
      <c r="G49" s="4">
        <v>8100000</v>
      </c>
      <c r="H49" s="4">
        <v>14239200</v>
      </c>
      <c r="I49" s="4">
        <f t="shared" si="3"/>
        <v>12600000</v>
      </c>
      <c r="J49" s="4">
        <f t="shared" si="4"/>
        <v>16922700</v>
      </c>
      <c r="K49" s="4">
        <f t="shared" si="5"/>
        <v>4322700</v>
      </c>
      <c r="L49" s="3"/>
    </row>
    <row r="50" spans="1:12" x14ac:dyDescent="0.25">
      <c r="A50" s="3" t="s">
        <v>123</v>
      </c>
      <c r="B50" s="3" t="s">
        <v>156</v>
      </c>
      <c r="C50" s="20">
        <v>1</v>
      </c>
      <c r="D50" s="20">
        <v>1</v>
      </c>
      <c r="E50" s="4">
        <v>850000</v>
      </c>
      <c r="F50" s="4">
        <v>282800</v>
      </c>
      <c r="G50" s="4">
        <v>500000</v>
      </c>
      <c r="H50" s="4">
        <v>100928</v>
      </c>
      <c r="I50" s="4">
        <f t="shared" si="3"/>
        <v>1350000</v>
      </c>
      <c r="J50" s="4">
        <f t="shared" si="4"/>
        <v>383728</v>
      </c>
      <c r="K50" s="4">
        <f t="shared" si="5"/>
        <v>-966272</v>
      </c>
      <c r="L50" s="3"/>
    </row>
    <row r="51" spans="1:12" ht="30" x14ac:dyDescent="0.25">
      <c r="A51" s="3" t="s">
        <v>123</v>
      </c>
      <c r="B51" s="3" t="s">
        <v>161</v>
      </c>
      <c r="C51" s="20">
        <v>1</v>
      </c>
      <c r="D51" s="20">
        <v>1</v>
      </c>
      <c r="E51" s="4">
        <v>2500000</v>
      </c>
      <c r="F51" s="4">
        <v>975635</v>
      </c>
      <c r="G51" s="4">
        <v>1000000</v>
      </c>
      <c r="H51" s="4">
        <v>110390</v>
      </c>
      <c r="I51" s="4">
        <f t="shared" si="3"/>
        <v>3500000</v>
      </c>
      <c r="J51" s="4">
        <f t="shared" si="4"/>
        <v>1086025</v>
      </c>
      <c r="K51" s="4">
        <f t="shared" si="5"/>
        <v>-2413975</v>
      </c>
      <c r="L51" s="3"/>
    </row>
    <row r="52" spans="1:12" x14ac:dyDescent="0.25">
      <c r="A52" s="3" t="s">
        <v>123</v>
      </c>
      <c r="B52" s="3" t="s">
        <v>75</v>
      </c>
      <c r="C52" s="20">
        <v>80</v>
      </c>
      <c r="D52" s="20">
        <v>80</v>
      </c>
      <c r="E52" s="4">
        <v>17600000</v>
      </c>
      <c r="F52" s="4">
        <v>10254080</v>
      </c>
      <c r="G52" s="4">
        <v>10640000</v>
      </c>
      <c r="H52" s="4">
        <v>6904240</v>
      </c>
      <c r="I52" s="4">
        <f t="shared" si="3"/>
        <v>28240000</v>
      </c>
      <c r="J52" s="4">
        <f t="shared" si="4"/>
        <v>17158320</v>
      </c>
      <c r="K52" s="4">
        <f t="shared" si="5"/>
        <v>-11081680</v>
      </c>
      <c r="L52" s="3"/>
    </row>
    <row r="53" spans="1:12" x14ac:dyDescent="0.25">
      <c r="A53" s="3" t="s">
        <v>123</v>
      </c>
      <c r="B53" s="3" t="s">
        <v>74</v>
      </c>
      <c r="C53" s="20">
        <v>36</v>
      </c>
      <c r="D53" s="20">
        <v>36</v>
      </c>
      <c r="E53" s="4">
        <v>6480000</v>
      </c>
      <c r="F53" s="4">
        <v>3614544</v>
      </c>
      <c r="G53" s="4">
        <v>3636000</v>
      </c>
      <c r="H53" s="4">
        <v>2855592</v>
      </c>
      <c r="I53" s="4">
        <f t="shared" si="3"/>
        <v>10116000</v>
      </c>
      <c r="J53" s="4">
        <f t="shared" si="4"/>
        <v>6470136</v>
      </c>
      <c r="K53" s="4">
        <f t="shared" si="5"/>
        <v>-3645864</v>
      </c>
      <c r="L53" s="3"/>
    </row>
    <row r="54" spans="1:12" x14ac:dyDescent="0.25">
      <c r="A54" s="24" t="s">
        <v>123</v>
      </c>
      <c r="B54" s="24" t="s">
        <v>162</v>
      </c>
      <c r="C54" s="31">
        <v>10</v>
      </c>
      <c r="D54" s="31">
        <v>10</v>
      </c>
      <c r="E54" s="10">
        <v>1014000</v>
      </c>
      <c r="F54" s="10">
        <v>6555610</v>
      </c>
      <c r="G54" s="10">
        <v>240000</v>
      </c>
      <c r="H54" s="10">
        <v>1026980</v>
      </c>
      <c r="I54" s="10">
        <f t="shared" si="3"/>
        <v>1254000</v>
      </c>
      <c r="J54" s="10">
        <f t="shared" si="4"/>
        <v>7582590</v>
      </c>
      <c r="K54" s="10">
        <f t="shared" si="5"/>
        <v>6328590</v>
      </c>
      <c r="L54" s="24" t="s">
        <v>238</v>
      </c>
    </row>
    <row r="55" spans="1:12" x14ac:dyDescent="0.25">
      <c r="A55" s="3" t="s">
        <v>123</v>
      </c>
      <c r="B55" s="3" t="s">
        <v>163</v>
      </c>
      <c r="C55" s="20">
        <v>10</v>
      </c>
      <c r="D55" s="20">
        <v>10</v>
      </c>
      <c r="E55" s="4">
        <v>720000</v>
      </c>
      <c r="F55" s="4">
        <v>545850</v>
      </c>
      <c r="G55" s="4">
        <v>160000</v>
      </c>
      <c r="H55" s="4">
        <v>882360</v>
      </c>
      <c r="I55" s="4">
        <f t="shared" si="3"/>
        <v>880000</v>
      </c>
      <c r="J55" s="4">
        <f t="shared" si="4"/>
        <v>1428210</v>
      </c>
      <c r="K55" s="4">
        <f t="shared" si="5"/>
        <v>548210</v>
      </c>
      <c r="L55" s="3"/>
    </row>
    <row r="56" spans="1:12" x14ac:dyDescent="0.25">
      <c r="A56" s="3" t="s">
        <v>123</v>
      </c>
      <c r="B56" s="3" t="s">
        <v>164</v>
      </c>
      <c r="C56" s="20">
        <v>5</v>
      </c>
      <c r="D56" s="20">
        <v>5</v>
      </c>
      <c r="E56" s="4">
        <v>810000</v>
      </c>
      <c r="F56" s="4">
        <v>852560</v>
      </c>
      <c r="G56" s="4">
        <v>170000</v>
      </c>
      <c r="H56" s="4">
        <v>513490</v>
      </c>
      <c r="I56" s="4">
        <f t="shared" si="3"/>
        <v>980000</v>
      </c>
      <c r="J56" s="4">
        <f t="shared" si="4"/>
        <v>1366050</v>
      </c>
      <c r="K56" s="4">
        <f t="shared" si="5"/>
        <v>386050</v>
      </c>
      <c r="L56" s="3"/>
    </row>
    <row r="57" spans="1:12" x14ac:dyDescent="0.25">
      <c r="A57" s="3" t="s">
        <v>123</v>
      </c>
      <c r="B57" s="3" t="s">
        <v>165</v>
      </c>
      <c r="C57" s="20">
        <v>4</v>
      </c>
      <c r="D57" s="20">
        <v>4</v>
      </c>
      <c r="E57" s="4">
        <v>552000</v>
      </c>
      <c r="F57" s="4">
        <v>611052</v>
      </c>
      <c r="G57" s="4">
        <v>92000</v>
      </c>
      <c r="H57" s="4">
        <v>447716</v>
      </c>
      <c r="I57" s="4">
        <f t="shared" si="3"/>
        <v>644000</v>
      </c>
      <c r="J57" s="4">
        <f t="shared" si="4"/>
        <v>1058768</v>
      </c>
      <c r="K57" s="4">
        <f t="shared" si="5"/>
        <v>414768</v>
      </c>
      <c r="L57" s="3"/>
    </row>
    <row r="58" spans="1:12" ht="30" x14ac:dyDescent="0.25">
      <c r="A58" s="3" t="s">
        <v>123</v>
      </c>
      <c r="B58" s="3" t="s">
        <v>166</v>
      </c>
      <c r="C58" s="20">
        <v>20</v>
      </c>
      <c r="D58" s="20">
        <v>20</v>
      </c>
      <c r="E58" s="4">
        <v>3000000</v>
      </c>
      <c r="F58" s="4">
        <v>2480420</v>
      </c>
      <c r="G58" s="4">
        <v>3240000</v>
      </c>
      <c r="H58" s="4">
        <v>1498540</v>
      </c>
      <c r="I58" s="4">
        <f t="shared" si="3"/>
        <v>6240000</v>
      </c>
      <c r="J58" s="4">
        <f t="shared" si="4"/>
        <v>3978960</v>
      </c>
      <c r="K58" s="4">
        <f t="shared" si="5"/>
        <v>-2261040</v>
      </c>
      <c r="L58" s="3" t="s">
        <v>239</v>
      </c>
    </row>
    <row r="59" spans="1:12" x14ac:dyDescent="0.25">
      <c r="A59" s="3" t="s">
        <v>123</v>
      </c>
      <c r="B59" s="3" t="s">
        <v>167</v>
      </c>
      <c r="C59" s="20">
        <v>10</v>
      </c>
      <c r="D59" s="20">
        <v>10</v>
      </c>
      <c r="E59" s="4">
        <v>350000</v>
      </c>
      <c r="F59" s="4">
        <v>145940</v>
      </c>
      <c r="G59" s="4">
        <v>140000</v>
      </c>
      <c r="H59" s="4">
        <v>92100</v>
      </c>
      <c r="I59" s="4">
        <f t="shared" si="3"/>
        <v>490000</v>
      </c>
      <c r="J59" s="4">
        <f t="shared" si="4"/>
        <v>238040</v>
      </c>
      <c r="K59" s="4">
        <f t="shared" si="5"/>
        <v>-251960</v>
      </c>
      <c r="L59" s="3"/>
    </row>
    <row r="60" spans="1:12" x14ac:dyDescent="0.25">
      <c r="A60" s="3" t="s">
        <v>123</v>
      </c>
      <c r="B60" s="3" t="s">
        <v>168</v>
      </c>
      <c r="C60" s="20">
        <v>5</v>
      </c>
      <c r="D60" s="20">
        <v>5</v>
      </c>
      <c r="E60" s="4">
        <v>2030000</v>
      </c>
      <c r="F60" s="4">
        <v>5044505</v>
      </c>
      <c r="G60" s="4">
        <v>530000</v>
      </c>
      <c r="H60" s="4">
        <v>788500</v>
      </c>
      <c r="I60" s="4">
        <f t="shared" si="3"/>
        <v>2560000</v>
      </c>
      <c r="J60" s="4">
        <f t="shared" si="4"/>
        <v>5833005</v>
      </c>
      <c r="K60" s="4">
        <f t="shared" si="5"/>
        <v>3273005</v>
      </c>
      <c r="L60" s="3"/>
    </row>
    <row r="61" spans="1:12" x14ac:dyDescent="0.25">
      <c r="A61" s="3" t="s">
        <v>123</v>
      </c>
      <c r="B61" s="3" t="s">
        <v>169</v>
      </c>
      <c r="C61" s="20">
        <v>2</v>
      </c>
      <c r="D61" s="20">
        <v>2</v>
      </c>
      <c r="E61" s="4">
        <v>1596000</v>
      </c>
      <c r="F61" s="4">
        <v>3320012</v>
      </c>
      <c r="G61" s="4">
        <v>324000</v>
      </c>
      <c r="H61" s="4">
        <v>157700</v>
      </c>
      <c r="I61" s="4">
        <f t="shared" si="3"/>
        <v>1920000</v>
      </c>
      <c r="J61" s="4">
        <f t="shared" si="4"/>
        <v>3477712</v>
      </c>
      <c r="K61" s="4">
        <f t="shared" si="5"/>
        <v>1557712</v>
      </c>
      <c r="L61" s="3"/>
    </row>
    <row r="62" spans="1:12" x14ac:dyDescent="0.25">
      <c r="A62" s="3" t="s">
        <v>123</v>
      </c>
      <c r="B62" s="3" t="s">
        <v>170</v>
      </c>
      <c r="C62" s="20">
        <v>2</v>
      </c>
      <c r="D62" s="20">
        <v>2</v>
      </c>
      <c r="E62" s="4">
        <v>1488000</v>
      </c>
      <c r="F62" s="4">
        <v>3200820</v>
      </c>
      <c r="G62" s="4">
        <v>256000</v>
      </c>
      <c r="H62" s="4">
        <v>239704</v>
      </c>
      <c r="I62" s="4">
        <f t="shared" si="3"/>
        <v>1744000</v>
      </c>
      <c r="J62" s="4">
        <f t="shared" si="4"/>
        <v>3440524</v>
      </c>
      <c r="K62" s="4">
        <f t="shared" si="5"/>
        <v>1696524</v>
      </c>
      <c r="L62" s="3"/>
    </row>
    <row r="63" spans="1:12" x14ac:dyDescent="0.25">
      <c r="A63" s="3" t="s">
        <v>123</v>
      </c>
      <c r="B63" s="3" t="s">
        <v>171</v>
      </c>
      <c r="C63" s="20">
        <v>4</v>
      </c>
      <c r="D63" s="20">
        <v>4</v>
      </c>
      <c r="E63" s="4">
        <v>1352000</v>
      </c>
      <c r="F63" s="4">
        <v>7176716</v>
      </c>
      <c r="G63" s="4">
        <v>512000</v>
      </c>
      <c r="H63" s="4">
        <v>479408</v>
      </c>
      <c r="I63" s="4">
        <f t="shared" si="3"/>
        <v>1864000</v>
      </c>
      <c r="J63" s="4">
        <f t="shared" si="4"/>
        <v>7656124</v>
      </c>
      <c r="K63" s="4">
        <f t="shared" si="5"/>
        <v>5792124</v>
      </c>
      <c r="L63" s="3"/>
    </row>
    <row r="64" spans="1:12" ht="30" x14ac:dyDescent="0.25">
      <c r="A64" s="3" t="s">
        <v>123</v>
      </c>
      <c r="B64" s="3" t="s">
        <v>172</v>
      </c>
      <c r="C64" s="20">
        <v>2</v>
      </c>
      <c r="D64" s="20">
        <v>2</v>
      </c>
      <c r="E64" s="4">
        <v>1700000</v>
      </c>
      <c r="F64" s="4">
        <v>327304</v>
      </c>
      <c r="G64" s="4">
        <v>148000</v>
      </c>
      <c r="H64" s="4">
        <v>536180</v>
      </c>
      <c r="I64" s="4">
        <f t="shared" si="3"/>
        <v>1848000</v>
      </c>
      <c r="J64" s="4">
        <f t="shared" si="4"/>
        <v>863484</v>
      </c>
      <c r="K64" s="4">
        <f t="shared" si="5"/>
        <v>-984516</v>
      </c>
      <c r="L64" s="3"/>
    </row>
    <row r="65" spans="1:12" x14ac:dyDescent="0.25">
      <c r="A65" s="3" t="s">
        <v>123</v>
      </c>
      <c r="B65" s="3" t="s">
        <v>173</v>
      </c>
      <c r="C65" s="20">
        <v>2</v>
      </c>
      <c r="D65" s="20">
        <v>2</v>
      </c>
      <c r="E65" s="4">
        <v>1358000</v>
      </c>
      <c r="F65" s="4">
        <v>3680048</v>
      </c>
      <c r="G65" s="4">
        <v>270000</v>
      </c>
      <c r="H65" s="4">
        <v>157700</v>
      </c>
      <c r="I65" s="4">
        <f t="shared" si="3"/>
        <v>1628000</v>
      </c>
      <c r="J65" s="4">
        <f t="shared" si="4"/>
        <v>3837748</v>
      </c>
      <c r="K65" s="4">
        <f t="shared" si="5"/>
        <v>2209748</v>
      </c>
      <c r="L65" s="3"/>
    </row>
    <row r="66" spans="1:12" x14ac:dyDescent="0.25">
      <c r="A66" s="3" t="s">
        <v>123</v>
      </c>
      <c r="B66" s="3" t="s">
        <v>79</v>
      </c>
      <c r="C66" s="20">
        <v>1</v>
      </c>
      <c r="D66" s="20">
        <v>1</v>
      </c>
      <c r="E66" s="4">
        <v>3850000</v>
      </c>
      <c r="F66" s="4">
        <v>1153955</v>
      </c>
      <c r="G66" s="4">
        <v>338000</v>
      </c>
      <c r="H66" s="4">
        <v>31540</v>
      </c>
      <c r="I66" s="4">
        <f t="shared" si="3"/>
        <v>4188000</v>
      </c>
      <c r="J66" s="4">
        <f t="shared" si="4"/>
        <v>1185495</v>
      </c>
      <c r="K66" s="4">
        <f t="shared" si="5"/>
        <v>-3002505</v>
      </c>
      <c r="L66" s="3"/>
    </row>
    <row r="67" spans="1:12" x14ac:dyDescent="0.25">
      <c r="A67" s="3" t="s">
        <v>123</v>
      </c>
      <c r="B67" s="3" t="s">
        <v>174</v>
      </c>
      <c r="C67" s="20">
        <v>2</v>
      </c>
      <c r="D67" s="20">
        <v>2</v>
      </c>
      <c r="E67" s="4">
        <v>500000</v>
      </c>
      <c r="F67" s="4">
        <v>528332</v>
      </c>
      <c r="G67" s="4">
        <v>136000</v>
      </c>
      <c r="H67" s="4">
        <v>63080</v>
      </c>
      <c r="I67" s="4">
        <f t="shared" si="3"/>
        <v>636000</v>
      </c>
      <c r="J67" s="4">
        <f t="shared" si="4"/>
        <v>591412</v>
      </c>
      <c r="K67" s="4">
        <f t="shared" si="5"/>
        <v>-44588</v>
      </c>
      <c r="L67" s="3"/>
    </row>
    <row r="68" spans="1:12" x14ac:dyDescent="0.25">
      <c r="A68" s="3" t="s">
        <v>123</v>
      </c>
      <c r="B68" s="3" t="s">
        <v>175</v>
      </c>
      <c r="C68" s="20">
        <v>1</v>
      </c>
      <c r="D68" s="20">
        <v>1</v>
      </c>
      <c r="E68" s="4">
        <v>9850000</v>
      </c>
      <c r="F68" s="4">
        <v>6500000</v>
      </c>
      <c r="G68" s="4">
        <v>677000</v>
      </c>
      <c r="H68" s="4">
        <v>482562</v>
      </c>
      <c r="I68" s="4">
        <f t="shared" ref="I68:I99" si="6">E68+G68</f>
        <v>10527000</v>
      </c>
      <c r="J68" s="4">
        <f t="shared" ref="J68:J99" si="7">F68+H68</f>
        <v>6982562</v>
      </c>
      <c r="K68" s="4">
        <f t="shared" ref="K68:K99" si="8">J68-I68</f>
        <v>-3544438</v>
      </c>
      <c r="L68" s="3"/>
    </row>
    <row r="69" spans="1:12" ht="30" x14ac:dyDescent="0.25">
      <c r="A69" s="3" t="s">
        <v>123</v>
      </c>
      <c r="B69" s="3" t="s">
        <v>182</v>
      </c>
      <c r="C69" s="20">
        <v>6</v>
      </c>
      <c r="D69" s="20">
        <v>6</v>
      </c>
      <c r="E69" s="4">
        <v>3246000</v>
      </c>
      <c r="F69" s="4">
        <v>2016000</v>
      </c>
      <c r="G69" s="4">
        <v>2844000</v>
      </c>
      <c r="H69" s="4">
        <v>569562</v>
      </c>
      <c r="I69" s="4">
        <f t="shared" si="6"/>
        <v>6090000</v>
      </c>
      <c r="J69" s="4">
        <f t="shared" si="7"/>
        <v>2585562</v>
      </c>
      <c r="K69" s="4">
        <f t="shared" si="8"/>
        <v>-3504438</v>
      </c>
      <c r="L69" s="3"/>
    </row>
    <row r="70" spans="1:12" ht="30" x14ac:dyDescent="0.25">
      <c r="A70" s="3" t="s">
        <v>123</v>
      </c>
      <c r="B70" s="3" t="s">
        <v>183</v>
      </c>
      <c r="C70" s="20">
        <v>6</v>
      </c>
      <c r="D70" s="20">
        <v>6</v>
      </c>
      <c r="E70" s="4">
        <v>4464000</v>
      </c>
      <c r="F70" s="4">
        <v>3360000</v>
      </c>
      <c r="G70" s="4">
        <v>528000</v>
      </c>
      <c r="H70" s="4">
        <v>0</v>
      </c>
      <c r="I70" s="4">
        <f t="shared" si="6"/>
        <v>4992000</v>
      </c>
      <c r="J70" s="4">
        <f t="shared" si="7"/>
        <v>3360000</v>
      </c>
      <c r="K70" s="4">
        <f t="shared" si="8"/>
        <v>-1632000</v>
      </c>
      <c r="L70" s="3" t="s">
        <v>242</v>
      </c>
    </row>
    <row r="71" spans="1:12" x14ac:dyDescent="0.25">
      <c r="A71" s="3" t="s">
        <v>123</v>
      </c>
      <c r="B71" s="3" t="s">
        <v>186</v>
      </c>
      <c r="C71" s="20">
        <v>6</v>
      </c>
      <c r="D71" s="20">
        <v>6</v>
      </c>
      <c r="E71" s="4">
        <v>2028000</v>
      </c>
      <c r="F71" s="4">
        <v>1544796</v>
      </c>
      <c r="G71" s="4">
        <v>972000</v>
      </c>
      <c r="H71" s="4">
        <v>397404</v>
      </c>
      <c r="I71" s="4">
        <f t="shared" si="6"/>
        <v>3000000</v>
      </c>
      <c r="J71" s="4">
        <f t="shared" si="7"/>
        <v>1942200</v>
      </c>
      <c r="K71" s="4">
        <f t="shared" si="8"/>
        <v>-1057800</v>
      </c>
      <c r="L71" s="3"/>
    </row>
    <row r="72" spans="1:12" x14ac:dyDescent="0.25">
      <c r="A72" s="3" t="s">
        <v>123</v>
      </c>
      <c r="B72" s="3" t="s">
        <v>190</v>
      </c>
      <c r="C72" s="20">
        <v>1</v>
      </c>
      <c r="D72" s="20">
        <v>1</v>
      </c>
      <c r="E72" s="4">
        <v>500000</v>
      </c>
      <c r="F72" s="4">
        <v>359550</v>
      </c>
      <c r="G72" s="4">
        <v>81000</v>
      </c>
      <c r="H72" s="4">
        <v>77888</v>
      </c>
      <c r="I72" s="4">
        <f t="shared" si="6"/>
        <v>581000</v>
      </c>
      <c r="J72" s="4">
        <f t="shared" si="7"/>
        <v>437438</v>
      </c>
      <c r="K72" s="4">
        <f t="shared" si="8"/>
        <v>-143562</v>
      </c>
      <c r="L72" s="3"/>
    </row>
    <row r="73" spans="1:12" x14ac:dyDescent="0.25">
      <c r="A73" s="3" t="s">
        <v>123</v>
      </c>
      <c r="B73" s="3" t="s">
        <v>193</v>
      </c>
      <c r="C73" s="20">
        <v>100</v>
      </c>
      <c r="D73" s="20">
        <v>100</v>
      </c>
      <c r="E73" s="4">
        <v>38000000</v>
      </c>
      <c r="F73" s="4">
        <v>28106400</v>
      </c>
      <c r="G73" s="4">
        <v>1800000</v>
      </c>
      <c r="H73" s="4">
        <v>309100</v>
      </c>
      <c r="I73" s="4">
        <f t="shared" si="6"/>
        <v>39800000</v>
      </c>
      <c r="J73" s="4">
        <f t="shared" si="7"/>
        <v>28415500</v>
      </c>
      <c r="K73" s="4">
        <f t="shared" si="8"/>
        <v>-11384500</v>
      </c>
      <c r="L73" s="3"/>
    </row>
    <row r="74" spans="1:12" x14ac:dyDescent="0.25">
      <c r="A74" s="3" t="s">
        <v>123</v>
      </c>
      <c r="B74" s="3" t="s">
        <v>87</v>
      </c>
      <c r="C74" s="20">
        <v>100</v>
      </c>
      <c r="D74" s="20">
        <v>100</v>
      </c>
      <c r="E74" s="4">
        <v>2500000</v>
      </c>
      <c r="F74" s="4">
        <v>1202000</v>
      </c>
      <c r="G74" s="4">
        <v>1000000</v>
      </c>
      <c r="H74" s="4">
        <v>2195400</v>
      </c>
      <c r="I74" s="4">
        <f t="shared" si="6"/>
        <v>3500000</v>
      </c>
      <c r="J74" s="4">
        <f t="shared" si="7"/>
        <v>3397400</v>
      </c>
      <c r="K74" s="4">
        <f t="shared" si="8"/>
        <v>-102600</v>
      </c>
      <c r="L74" s="3"/>
    </row>
    <row r="75" spans="1:12" ht="30" x14ac:dyDescent="0.25">
      <c r="A75" s="3" t="s">
        <v>123</v>
      </c>
      <c r="B75" s="3" t="s">
        <v>243</v>
      </c>
      <c r="C75" s="20">
        <v>2</v>
      </c>
      <c r="D75" s="20">
        <v>2</v>
      </c>
      <c r="E75" s="4">
        <v>0</v>
      </c>
      <c r="F75" s="4">
        <v>6196</v>
      </c>
      <c r="G75" s="4">
        <v>9472000</v>
      </c>
      <c r="H75" s="4">
        <v>1915004</v>
      </c>
      <c r="I75" s="4">
        <f t="shared" si="6"/>
        <v>9472000</v>
      </c>
      <c r="J75" s="4">
        <f t="shared" si="7"/>
        <v>1921200</v>
      </c>
      <c r="K75" s="4">
        <f t="shared" si="8"/>
        <v>-7550800</v>
      </c>
      <c r="L75" s="3" t="s">
        <v>244</v>
      </c>
    </row>
    <row r="76" spans="1:12" ht="30" x14ac:dyDescent="0.25">
      <c r="A76" s="3" t="s">
        <v>123</v>
      </c>
      <c r="B76" s="3" t="s">
        <v>245</v>
      </c>
      <c r="C76" s="20">
        <v>20</v>
      </c>
      <c r="D76" s="20"/>
      <c r="E76" s="4">
        <v>81532000</v>
      </c>
      <c r="F76" s="4">
        <v>0</v>
      </c>
      <c r="G76" s="4">
        <v>546000</v>
      </c>
      <c r="H76" s="4">
        <v>0</v>
      </c>
      <c r="I76" s="4">
        <f t="shared" si="6"/>
        <v>82078000</v>
      </c>
      <c r="J76" s="4">
        <f t="shared" si="7"/>
        <v>0</v>
      </c>
      <c r="K76" s="4">
        <f t="shared" si="8"/>
        <v>-82078000</v>
      </c>
      <c r="L76" s="3" t="s">
        <v>246</v>
      </c>
    </row>
    <row r="77" spans="1:12" x14ac:dyDescent="0.25">
      <c r="A77" s="3" t="s">
        <v>123</v>
      </c>
      <c r="B77" s="3" t="s">
        <v>247</v>
      </c>
      <c r="C77" s="20"/>
      <c r="D77" s="20"/>
      <c r="E77" s="4">
        <v>12949200</v>
      </c>
      <c r="F77" s="4">
        <v>0</v>
      </c>
      <c r="G77" s="4">
        <v>3282850</v>
      </c>
      <c r="H77" s="4">
        <v>0</v>
      </c>
      <c r="I77" s="4">
        <f t="shared" si="6"/>
        <v>16232050</v>
      </c>
      <c r="J77" s="4">
        <f t="shared" si="7"/>
        <v>0</v>
      </c>
      <c r="K77" s="4">
        <f t="shared" si="8"/>
        <v>-16232050</v>
      </c>
      <c r="L77" s="3" t="s">
        <v>248</v>
      </c>
    </row>
    <row r="78" spans="1:12" ht="30" x14ac:dyDescent="0.25">
      <c r="A78" s="3" t="s">
        <v>123</v>
      </c>
      <c r="B78" s="3" t="s">
        <v>249</v>
      </c>
      <c r="C78" s="20"/>
      <c r="D78" s="20"/>
      <c r="E78" s="4">
        <v>5500000</v>
      </c>
      <c r="F78" s="4">
        <v>0</v>
      </c>
      <c r="G78" s="4">
        <v>54928800</v>
      </c>
      <c r="H78" s="4">
        <v>0</v>
      </c>
      <c r="I78" s="4">
        <f t="shared" si="6"/>
        <v>60428800</v>
      </c>
      <c r="J78" s="4">
        <f t="shared" si="7"/>
        <v>0</v>
      </c>
      <c r="K78" s="4">
        <f t="shared" si="8"/>
        <v>-60428800</v>
      </c>
      <c r="L78" s="3" t="s">
        <v>250</v>
      </c>
    </row>
    <row r="79" spans="1:12" x14ac:dyDescent="0.25">
      <c r="A79" s="3" t="s">
        <v>124</v>
      </c>
      <c r="B79" s="3" t="s">
        <v>146</v>
      </c>
      <c r="C79" s="20">
        <v>1</v>
      </c>
      <c r="D79" s="20">
        <v>1</v>
      </c>
      <c r="E79" s="4">
        <v>11500000</v>
      </c>
      <c r="F79" s="4">
        <v>6831825</v>
      </c>
      <c r="G79" s="4">
        <v>1353000</v>
      </c>
      <c r="H79" s="4">
        <v>832812</v>
      </c>
      <c r="I79" s="4">
        <f t="shared" si="6"/>
        <v>12853000</v>
      </c>
      <c r="J79" s="4">
        <f t="shared" si="7"/>
        <v>7664637</v>
      </c>
      <c r="K79" s="4">
        <f t="shared" si="8"/>
        <v>-5188363</v>
      </c>
      <c r="L79" s="3"/>
    </row>
    <row r="80" spans="1:12" x14ac:dyDescent="0.25">
      <c r="A80" s="3" t="s">
        <v>124</v>
      </c>
      <c r="B80" s="3" t="s">
        <v>149</v>
      </c>
      <c r="C80" s="20">
        <v>5</v>
      </c>
      <c r="D80" s="20">
        <v>5</v>
      </c>
      <c r="E80" s="4">
        <v>3720000</v>
      </c>
      <c r="F80" s="4">
        <v>1287750</v>
      </c>
      <c r="G80" s="4">
        <v>405000</v>
      </c>
      <c r="H80" s="4">
        <v>389441</v>
      </c>
      <c r="I80" s="4">
        <f t="shared" si="6"/>
        <v>4125000</v>
      </c>
      <c r="J80" s="4">
        <f t="shared" si="7"/>
        <v>1677191</v>
      </c>
      <c r="K80" s="4">
        <f t="shared" si="8"/>
        <v>-2447809</v>
      </c>
      <c r="L80" s="3"/>
    </row>
    <row r="81" spans="1:12" x14ac:dyDescent="0.25">
      <c r="A81" s="3" t="s">
        <v>124</v>
      </c>
      <c r="B81" s="3" t="s">
        <v>150</v>
      </c>
      <c r="C81" s="20">
        <v>5</v>
      </c>
      <c r="D81" s="20">
        <v>5</v>
      </c>
      <c r="E81" s="4">
        <v>2250000</v>
      </c>
      <c r="F81" s="4">
        <v>1032750</v>
      </c>
      <c r="G81" s="4">
        <v>405000</v>
      </c>
      <c r="H81" s="4">
        <v>965751</v>
      </c>
      <c r="I81" s="4">
        <f t="shared" si="6"/>
        <v>2655000</v>
      </c>
      <c r="J81" s="4">
        <f t="shared" si="7"/>
        <v>1998501</v>
      </c>
      <c r="K81" s="4">
        <f t="shared" si="8"/>
        <v>-656499</v>
      </c>
      <c r="L81" s="3"/>
    </row>
    <row r="82" spans="1:12" x14ac:dyDescent="0.25">
      <c r="A82" s="3" t="s">
        <v>124</v>
      </c>
      <c r="B82" s="3" t="s">
        <v>151</v>
      </c>
      <c r="C82" s="20">
        <v>58</v>
      </c>
      <c r="D82" s="20">
        <v>58</v>
      </c>
      <c r="E82" s="4">
        <v>27840000</v>
      </c>
      <c r="F82" s="4">
        <v>25410583</v>
      </c>
      <c r="G82" s="4">
        <v>4698000</v>
      </c>
      <c r="H82" s="4">
        <v>3312212</v>
      </c>
      <c r="I82" s="4">
        <f t="shared" si="6"/>
        <v>32538000</v>
      </c>
      <c r="J82" s="4">
        <f t="shared" si="7"/>
        <v>28722795</v>
      </c>
      <c r="K82" s="4">
        <f t="shared" si="8"/>
        <v>-3815205</v>
      </c>
      <c r="L82" s="3"/>
    </row>
    <row r="83" spans="1:12" x14ac:dyDescent="0.25">
      <c r="A83" s="3" t="s">
        <v>124</v>
      </c>
      <c r="B83" s="3" t="s">
        <v>77</v>
      </c>
      <c r="C83" s="20">
        <v>14</v>
      </c>
      <c r="D83" s="20">
        <v>14</v>
      </c>
      <c r="E83" s="4">
        <v>1400000</v>
      </c>
      <c r="F83" s="4">
        <v>749700</v>
      </c>
      <c r="G83" s="4">
        <v>1134000</v>
      </c>
      <c r="H83" s="4">
        <v>1090435</v>
      </c>
      <c r="I83" s="4">
        <f t="shared" si="6"/>
        <v>2534000</v>
      </c>
      <c r="J83" s="4">
        <f t="shared" si="7"/>
        <v>1840135</v>
      </c>
      <c r="K83" s="4">
        <f t="shared" si="8"/>
        <v>-693865</v>
      </c>
      <c r="L83" s="3"/>
    </row>
    <row r="84" spans="1:12" x14ac:dyDescent="0.25">
      <c r="A84" s="3" t="s">
        <v>124</v>
      </c>
      <c r="B84" s="3" t="s">
        <v>152</v>
      </c>
      <c r="C84" s="20">
        <v>3</v>
      </c>
      <c r="D84" s="20">
        <v>3</v>
      </c>
      <c r="E84" s="4">
        <v>540000</v>
      </c>
      <c r="F84" s="4">
        <v>841430</v>
      </c>
      <c r="G84" s="4">
        <v>243000</v>
      </c>
      <c r="H84" s="4">
        <v>171321</v>
      </c>
      <c r="I84" s="4">
        <f t="shared" si="6"/>
        <v>783000</v>
      </c>
      <c r="J84" s="4">
        <f t="shared" si="7"/>
        <v>1012751</v>
      </c>
      <c r="K84" s="4">
        <f t="shared" si="8"/>
        <v>229751</v>
      </c>
      <c r="L84" s="3"/>
    </row>
    <row r="85" spans="1:12" x14ac:dyDescent="0.25">
      <c r="A85" s="3" t="s">
        <v>124</v>
      </c>
      <c r="B85" s="3" t="s">
        <v>153</v>
      </c>
      <c r="C85" s="20">
        <v>850</v>
      </c>
      <c r="D85" s="20">
        <v>850</v>
      </c>
      <c r="E85" s="4">
        <v>10200000</v>
      </c>
      <c r="F85" s="4">
        <v>16685500</v>
      </c>
      <c r="G85" s="4">
        <v>8500000</v>
      </c>
      <c r="H85" s="4">
        <v>6165900</v>
      </c>
      <c r="I85" s="4">
        <f t="shared" si="6"/>
        <v>18700000</v>
      </c>
      <c r="J85" s="4">
        <f t="shared" si="7"/>
        <v>22851400</v>
      </c>
      <c r="K85" s="4">
        <f t="shared" si="8"/>
        <v>4151400</v>
      </c>
      <c r="L85" s="3"/>
    </row>
    <row r="86" spans="1:12" x14ac:dyDescent="0.25">
      <c r="A86" s="3" t="s">
        <v>124</v>
      </c>
      <c r="B86" s="3" t="s">
        <v>154</v>
      </c>
      <c r="C86" s="20">
        <v>50</v>
      </c>
      <c r="D86" s="20">
        <v>50</v>
      </c>
      <c r="E86" s="4">
        <v>2250000</v>
      </c>
      <c r="F86" s="4">
        <v>2633500</v>
      </c>
      <c r="G86" s="4">
        <v>500000</v>
      </c>
      <c r="H86" s="4">
        <v>441550</v>
      </c>
      <c r="I86" s="4">
        <f t="shared" si="6"/>
        <v>2750000</v>
      </c>
      <c r="J86" s="4">
        <f t="shared" si="7"/>
        <v>3075050</v>
      </c>
      <c r="K86" s="4">
        <f t="shared" si="8"/>
        <v>325050</v>
      </c>
      <c r="L86" s="3"/>
    </row>
    <row r="87" spans="1:12" x14ac:dyDescent="0.25">
      <c r="A87" s="3" t="s">
        <v>124</v>
      </c>
      <c r="B87" s="3" t="s">
        <v>155</v>
      </c>
      <c r="C87" s="20">
        <v>500</v>
      </c>
      <c r="D87" s="20">
        <v>500</v>
      </c>
      <c r="E87" s="4">
        <v>7500000</v>
      </c>
      <c r="F87" s="4">
        <v>4472500</v>
      </c>
      <c r="G87" s="4">
        <v>13500000</v>
      </c>
      <c r="H87" s="4">
        <v>23732000</v>
      </c>
      <c r="I87" s="4">
        <f t="shared" si="6"/>
        <v>21000000</v>
      </c>
      <c r="J87" s="4">
        <f t="shared" si="7"/>
        <v>28204500</v>
      </c>
      <c r="K87" s="4">
        <f t="shared" si="8"/>
        <v>7204500</v>
      </c>
      <c r="L87" s="3"/>
    </row>
    <row r="88" spans="1:12" x14ac:dyDescent="0.25">
      <c r="A88" s="3" t="s">
        <v>124</v>
      </c>
      <c r="B88" s="3" t="s">
        <v>156</v>
      </c>
      <c r="C88" s="20">
        <v>1</v>
      </c>
      <c r="D88" s="20">
        <v>1</v>
      </c>
      <c r="E88" s="4">
        <v>850000</v>
      </c>
      <c r="F88" s="4">
        <v>282800</v>
      </c>
      <c r="G88" s="4">
        <v>500000</v>
      </c>
      <c r="H88" s="4">
        <v>100928</v>
      </c>
      <c r="I88" s="4">
        <f t="shared" si="6"/>
        <v>1350000</v>
      </c>
      <c r="J88" s="4">
        <f t="shared" si="7"/>
        <v>383728</v>
      </c>
      <c r="K88" s="4">
        <f t="shared" si="8"/>
        <v>-966272</v>
      </c>
      <c r="L88" s="3"/>
    </row>
    <row r="89" spans="1:12" ht="30" x14ac:dyDescent="0.25">
      <c r="A89" s="3" t="s">
        <v>124</v>
      </c>
      <c r="B89" s="3" t="s">
        <v>161</v>
      </c>
      <c r="C89" s="20">
        <v>1</v>
      </c>
      <c r="D89" s="20">
        <v>1</v>
      </c>
      <c r="E89" s="4">
        <v>2500000</v>
      </c>
      <c r="F89" s="4">
        <v>975635</v>
      </c>
      <c r="G89" s="4">
        <v>1000000</v>
      </c>
      <c r="H89" s="4">
        <v>110390</v>
      </c>
      <c r="I89" s="4">
        <f t="shared" si="6"/>
        <v>3500000</v>
      </c>
      <c r="J89" s="4">
        <f t="shared" si="7"/>
        <v>1086025</v>
      </c>
      <c r="K89" s="4">
        <f t="shared" si="8"/>
        <v>-2413975</v>
      </c>
      <c r="L89" s="3"/>
    </row>
    <row r="90" spans="1:12" x14ac:dyDescent="0.25">
      <c r="A90" s="3" t="s">
        <v>124</v>
      </c>
      <c r="B90" s="3" t="s">
        <v>75</v>
      </c>
      <c r="C90" s="20">
        <v>72</v>
      </c>
      <c r="D90" s="20">
        <v>72</v>
      </c>
      <c r="E90" s="4">
        <v>15840000</v>
      </c>
      <c r="F90" s="4">
        <v>9228672</v>
      </c>
      <c r="G90" s="4">
        <v>9576000</v>
      </c>
      <c r="H90" s="4">
        <v>6213816</v>
      </c>
      <c r="I90" s="4">
        <f t="shared" si="6"/>
        <v>25416000</v>
      </c>
      <c r="J90" s="4">
        <f t="shared" si="7"/>
        <v>15442488</v>
      </c>
      <c r="K90" s="4">
        <f t="shared" si="8"/>
        <v>-9973512</v>
      </c>
      <c r="L90" s="3"/>
    </row>
    <row r="91" spans="1:12" x14ac:dyDescent="0.25">
      <c r="A91" s="3" t="s">
        <v>124</v>
      </c>
      <c r="B91" s="3" t="s">
        <v>74</v>
      </c>
      <c r="C91" s="20">
        <v>72</v>
      </c>
      <c r="D91" s="20">
        <v>72</v>
      </c>
      <c r="E91" s="4">
        <v>12960000</v>
      </c>
      <c r="F91" s="4">
        <v>7229088</v>
      </c>
      <c r="G91" s="4">
        <v>7272000</v>
      </c>
      <c r="H91" s="4">
        <v>5711184</v>
      </c>
      <c r="I91" s="4">
        <f t="shared" si="6"/>
        <v>20232000</v>
      </c>
      <c r="J91" s="4">
        <f t="shared" si="7"/>
        <v>12940272</v>
      </c>
      <c r="K91" s="4">
        <f t="shared" si="8"/>
        <v>-7291728</v>
      </c>
      <c r="L91" s="3"/>
    </row>
    <row r="92" spans="1:12" x14ac:dyDescent="0.25">
      <c r="A92" s="24" t="s">
        <v>124</v>
      </c>
      <c r="B92" s="24" t="s">
        <v>162</v>
      </c>
      <c r="C92" s="31">
        <v>15</v>
      </c>
      <c r="D92" s="31">
        <v>15</v>
      </c>
      <c r="E92" s="10">
        <v>1521000</v>
      </c>
      <c r="F92" s="10">
        <v>9833415</v>
      </c>
      <c r="G92" s="10">
        <v>360000</v>
      </c>
      <c r="H92" s="10">
        <v>1540470</v>
      </c>
      <c r="I92" s="10">
        <f t="shared" si="6"/>
        <v>1881000</v>
      </c>
      <c r="J92" s="10">
        <f t="shared" si="7"/>
        <v>11373885</v>
      </c>
      <c r="K92" s="10">
        <f t="shared" si="8"/>
        <v>9492885</v>
      </c>
      <c r="L92" s="24" t="s">
        <v>238</v>
      </c>
    </row>
    <row r="93" spans="1:12" x14ac:dyDescent="0.25">
      <c r="A93" s="3" t="s">
        <v>124</v>
      </c>
      <c r="B93" s="3" t="s">
        <v>163</v>
      </c>
      <c r="C93" s="20">
        <v>40</v>
      </c>
      <c r="D93" s="20">
        <v>40</v>
      </c>
      <c r="E93" s="4">
        <v>2880000</v>
      </c>
      <c r="F93" s="4">
        <v>2183400</v>
      </c>
      <c r="G93" s="4">
        <v>640000</v>
      </c>
      <c r="H93" s="4">
        <v>3529440</v>
      </c>
      <c r="I93" s="4">
        <f t="shared" si="6"/>
        <v>3520000</v>
      </c>
      <c r="J93" s="4">
        <f t="shared" si="7"/>
        <v>5712840</v>
      </c>
      <c r="K93" s="4">
        <f t="shared" si="8"/>
        <v>2192840</v>
      </c>
      <c r="L93" s="3"/>
    </row>
    <row r="94" spans="1:12" x14ac:dyDescent="0.25">
      <c r="A94" s="24" t="s">
        <v>124</v>
      </c>
      <c r="B94" s="24" t="s">
        <v>164</v>
      </c>
      <c r="C94" s="31">
        <v>10</v>
      </c>
      <c r="D94" s="31">
        <v>15</v>
      </c>
      <c r="E94" s="10">
        <v>1620000</v>
      </c>
      <c r="F94" s="10">
        <v>2557680</v>
      </c>
      <c r="G94" s="10">
        <v>340000</v>
      </c>
      <c r="H94" s="10">
        <v>1540470</v>
      </c>
      <c r="I94" s="10">
        <f t="shared" si="6"/>
        <v>1960000</v>
      </c>
      <c r="J94" s="10">
        <f t="shared" si="7"/>
        <v>4098150</v>
      </c>
      <c r="K94" s="10">
        <f t="shared" si="8"/>
        <v>2138150</v>
      </c>
      <c r="L94" s="24" t="s">
        <v>251</v>
      </c>
    </row>
    <row r="95" spans="1:12" x14ac:dyDescent="0.25">
      <c r="A95" s="3" t="s">
        <v>124</v>
      </c>
      <c r="B95" s="3" t="s">
        <v>165</v>
      </c>
      <c r="C95" s="20">
        <v>4</v>
      </c>
      <c r="D95" s="20">
        <v>4</v>
      </c>
      <c r="E95" s="4">
        <v>552000</v>
      </c>
      <c r="F95" s="4">
        <v>611052</v>
      </c>
      <c r="G95" s="4">
        <v>92000</v>
      </c>
      <c r="H95" s="4">
        <v>447716</v>
      </c>
      <c r="I95" s="4">
        <f t="shared" si="6"/>
        <v>644000</v>
      </c>
      <c r="J95" s="4">
        <f t="shared" si="7"/>
        <v>1058768</v>
      </c>
      <c r="K95" s="4">
        <f t="shared" si="8"/>
        <v>414768</v>
      </c>
      <c r="L95" s="3"/>
    </row>
    <row r="96" spans="1:12" ht="30" x14ac:dyDescent="0.25">
      <c r="A96" s="3" t="s">
        <v>124</v>
      </c>
      <c r="B96" s="3" t="s">
        <v>166</v>
      </c>
      <c r="C96" s="20">
        <v>20</v>
      </c>
      <c r="D96" s="20">
        <v>20</v>
      </c>
      <c r="E96" s="4">
        <v>3000000</v>
      </c>
      <c r="F96" s="4">
        <v>2480420</v>
      </c>
      <c r="G96" s="4">
        <v>3240000</v>
      </c>
      <c r="H96" s="4">
        <v>1498540</v>
      </c>
      <c r="I96" s="4">
        <f t="shared" si="6"/>
        <v>6240000</v>
      </c>
      <c r="J96" s="4">
        <f t="shared" si="7"/>
        <v>3978960</v>
      </c>
      <c r="K96" s="4">
        <f t="shared" si="8"/>
        <v>-2261040</v>
      </c>
      <c r="L96" s="3" t="s">
        <v>239</v>
      </c>
    </row>
    <row r="97" spans="1:12" x14ac:dyDescent="0.25">
      <c r="A97" s="3" t="s">
        <v>124</v>
      </c>
      <c r="B97" s="3" t="s">
        <v>167</v>
      </c>
      <c r="C97" s="20">
        <v>6</v>
      </c>
      <c r="D97" s="20">
        <v>6</v>
      </c>
      <c r="E97" s="4">
        <v>210000</v>
      </c>
      <c r="F97" s="4">
        <v>87564</v>
      </c>
      <c r="G97" s="4">
        <v>84000</v>
      </c>
      <c r="H97" s="4">
        <v>55260</v>
      </c>
      <c r="I97" s="4">
        <f t="shared" si="6"/>
        <v>294000</v>
      </c>
      <c r="J97" s="4">
        <f t="shared" si="7"/>
        <v>142824</v>
      </c>
      <c r="K97" s="4">
        <f t="shared" si="8"/>
        <v>-151176</v>
      </c>
      <c r="L97" s="3"/>
    </row>
    <row r="98" spans="1:12" x14ac:dyDescent="0.25">
      <c r="A98" s="3" t="s">
        <v>124</v>
      </c>
      <c r="B98" s="3" t="s">
        <v>168</v>
      </c>
      <c r="C98" s="20">
        <v>5</v>
      </c>
      <c r="D98" s="20">
        <v>5</v>
      </c>
      <c r="E98" s="4">
        <v>2030000</v>
      </c>
      <c r="F98" s="4">
        <v>5044505</v>
      </c>
      <c r="G98" s="4">
        <v>530000</v>
      </c>
      <c r="H98" s="4">
        <v>788500</v>
      </c>
      <c r="I98" s="4">
        <f t="shared" si="6"/>
        <v>2560000</v>
      </c>
      <c r="J98" s="4">
        <f t="shared" si="7"/>
        <v>5833005</v>
      </c>
      <c r="K98" s="4">
        <f t="shared" si="8"/>
        <v>3273005</v>
      </c>
      <c r="L98" s="3"/>
    </row>
    <row r="99" spans="1:12" x14ac:dyDescent="0.25">
      <c r="A99" s="3" t="s">
        <v>124</v>
      </c>
      <c r="B99" s="3" t="s">
        <v>169</v>
      </c>
      <c r="C99" s="20">
        <v>2</v>
      </c>
      <c r="D99" s="20">
        <v>2</v>
      </c>
      <c r="E99" s="4">
        <v>1596000</v>
      </c>
      <c r="F99" s="4">
        <v>3320012</v>
      </c>
      <c r="G99" s="4">
        <v>324000</v>
      </c>
      <c r="H99" s="4">
        <v>157700</v>
      </c>
      <c r="I99" s="4">
        <f t="shared" si="6"/>
        <v>1920000</v>
      </c>
      <c r="J99" s="4">
        <f t="shared" si="7"/>
        <v>3477712</v>
      </c>
      <c r="K99" s="4">
        <f t="shared" si="8"/>
        <v>1557712</v>
      </c>
      <c r="L99" s="3"/>
    </row>
    <row r="100" spans="1:12" x14ac:dyDescent="0.25">
      <c r="A100" s="3" t="s">
        <v>124</v>
      </c>
      <c r="B100" s="3" t="s">
        <v>170</v>
      </c>
      <c r="C100" s="20">
        <v>2</v>
      </c>
      <c r="D100" s="20">
        <v>2</v>
      </c>
      <c r="E100" s="4">
        <v>1488000</v>
      </c>
      <c r="F100" s="4">
        <v>3200820</v>
      </c>
      <c r="G100" s="4">
        <v>256000</v>
      </c>
      <c r="H100" s="4">
        <v>239704</v>
      </c>
      <c r="I100" s="4">
        <f t="shared" ref="I100:I116" si="9">E100+G100</f>
        <v>1744000</v>
      </c>
      <c r="J100" s="4">
        <f t="shared" ref="J100:J116" si="10">F100+H100</f>
        <v>3440524</v>
      </c>
      <c r="K100" s="4">
        <f t="shared" ref="K100:K131" si="11">J100-I100</f>
        <v>1696524</v>
      </c>
      <c r="L100" s="3"/>
    </row>
    <row r="101" spans="1:12" x14ac:dyDescent="0.25">
      <c r="A101" s="3" t="s">
        <v>124</v>
      </c>
      <c r="B101" s="3" t="s">
        <v>171</v>
      </c>
      <c r="C101" s="20">
        <v>4</v>
      </c>
      <c r="D101" s="20">
        <v>4</v>
      </c>
      <c r="E101" s="4">
        <v>1352000</v>
      </c>
      <c r="F101" s="4">
        <v>7176716</v>
      </c>
      <c r="G101" s="4">
        <v>512000</v>
      </c>
      <c r="H101" s="4">
        <v>479408</v>
      </c>
      <c r="I101" s="4">
        <f t="shared" si="9"/>
        <v>1864000</v>
      </c>
      <c r="J101" s="4">
        <f t="shared" si="10"/>
        <v>7656124</v>
      </c>
      <c r="K101" s="4">
        <f t="shared" si="11"/>
        <v>5792124</v>
      </c>
      <c r="L101" s="3"/>
    </row>
    <row r="102" spans="1:12" ht="30" x14ac:dyDescent="0.25">
      <c r="A102" s="3" t="s">
        <v>124</v>
      </c>
      <c r="B102" s="3" t="s">
        <v>172</v>
      </c>
      <c r="C102" s="20">
        <v>3</v>
      </c>
      <c r="D102" s="20">
        <v>3</v>
      </c>
      <c r="E102" s="4">
        <v>2550000</v>
      </c>
      <c r="F102" s="4">
        <v>490956</v>
      </c>
      <c r="G102" s="4">
        <v>222000</v>
      </c>
      <c r="H102" s="4">
        <v>804270</v>
      </c>
      <c r="I102" s="4">
        <f t="shared" si="9"/>
        <v>2772000</v>
      </c>
      <c r="J102" s="4">
        <f t="shared" si="10"/>
        <v>1295226</v>
      </c>
      <c r="K102" s="4">
        <f t="shared" si="11"/>
        <v>-1476774</v>
      </c>
      <c r="L102" s="3"/>
    </row>
    <row r="103" spans="1:12" x14ac:dyDescent="0.25">
      <c r="A103" s="3" t="s">
        <v>124</v>
      </c>
      <c r="B103" s="3" t="s">
        <v>173</v>
      </c>
      <c r="C103" s="20">
        <v>2</v>
      </c>
      <c r="D103" s="20">
        <v>2</v>
      </c>
      <c r="E103" s="4">
        <v>1358000</v>
      </c>
      <c r="F103" s="4">
        <v>3680048</v>
      </c>
      <c r="G103" s="4">
        <v>270000</v>
      </c>
      <c r="H103" s="4">
        <v>157700</v>
      </c>
      <c r="I103" s="4">
        <f t="shared" si="9"/>
        <v>1628000</v>
      </c>
      <c r="J103" s="4">
        <f t="shared" si="10"/>
        <v>3837748</v>
      </c>
      <c r="K103" s="4">
        <f t="shared" si="11"/>
        <v>2209748</v>
      </c>
      <c r="L103" s="3"/>
    </row>
    <row r="104" spans="1:12" x14ac:dyDescent="0.25">
      <c r="A104" s="3" t="s">
        <v>124</v>
      </c>
      <c r="B104" s="3" t="s">
        <v>79</v>
      </c>
      <c r="C104" s="20">
        <v>1</v>
      </c>
      <c r="D104" s="20">
        <v>1</v>
      </c>
      <c r="E104" s="4">
        <v>3850000</v>
      </c>
      <c r="F104" s="4">
        <v>1153955</v>
      </c>
      <c r="G104" s="4">
        <v>338000</v>
      </c>
      <c r="H104" s="4">
        <v>31540</v>
      </c>
      <c r="I104" s="4">
        <f t="shared" si="9"/>
        <v>4188000</v>
      </c>
      <c r="J104" s="4">
        <f t="shared" si="10"/>
        <v>1185495</v>
      </c>
      <c r="K104" s="4">
        <f t="shared" si="11"/>
        <v>-3002505</v>
      </c>
      <c r="L104" s="3"/>
    </row>
    <row r="105" spans="1:12" x14ac:dyDescent="0.25">
      <c r="A105" s="3" t="s">
        <v>124</v>
      </c>
      <c r="B105" s="3" t="s">
        <v>174</v>
      </c>
      <c r="C105" s="20">
        <v>2</v>
      </c>
      <c r="D105" s="20">
        <v>2</v>
      </c>
      <c r="E105" s="4">
        <v>500000</v>
      </c>
      <c r="F105" s="4">
        <v>528332</v>
      </c>
      <c r="G105" s="4">
        <v>136000</v>
      </c>
      <c r="H105" s="4">
        <v>63080</v>
      </c>
      <c r="I105" s="4">
        <f t="shared" si="9"/>
        <v>636000</v>
      </c>
      <c r="J105" s="4">
        <f t="shared" si="10"/>
        <v>591412</v>
      </c>
      <c r="K105" s="4">
        <f t="shared" si="11"/>
        <v>-44588</v>
      </c>
      <c r="L105" s="3"/>
    </row>
    <row r="106" spans="1:12" x14ac:dyDescent="0.25">
      <c r="A106" s="3" t="s">
        <v>124</v>
      </c>
      <c r="B106" s="3" t="s">
        <v>175</v>
      </c>
      <c r="C106" s="20">
        <v>1</v>
      </c>
      <c r="D106" s="20">
        <v>1</v>
      </c>
      <c r="E106" s="4">
        <v>9850000</v>
      </c>
      <c r="F106" s="4">
        <v>6500000</v>
      </c>
      <c r="G106" s="4">
        <v>677000</v>
      </c>
      <c r="H106" s="4">
        <v>482562</v>
      </c>
      <c r="I106" s="4">
        <f t="shared" si="9"/>
        <v>10527000</v>
      </c>
      <c r="J106" s="4">
        <f t="shared" si="10"/>
        <v>6982562</v>
      </c>
      <c r="K106" s="4">
        <f t="shared" si="11"/>
        <v>-3544438</v>
      </c>
      <c r="L106" s="3"/>
    </row>
    <row r="107" spans="1:12" ht="30" x14ac:dyDescent="0.25">
      <c r="A107" s="3" t="s">
        <v>124</v>
      </c>
      <c r="B107" s="3" t="s">
        <v>182</v>
      </c>
      <c r="C107" s="20">
        <v>5</v>
      </c>
      <c r="D107" s="20">
        <v>5</v>
      </c>
      <c r="E107" s="4">
        <v>2705000</v>
      </c>
      <c r="F107" s="4">
        <v>1680000</v>
      </c>
      <c r="G107" s="4">
        <v>2370000</v>
      </c>
      <c r="H107" s="4">
        <v>474635</v>
      </c>
      <c r="I107" s="4">
        <f t="shared" si="9"/>
        <v>5075000</v>
      </c>
      <c r="J107" s="4">
        <f t="shared" si="10"/>
        <v>2154635</v>
      </c>
      <c r="K107" s="4">
        <f t="shared" si="11"/>
        <v>-2920365</v>
      </c>
      <c r="L107" s="3"/>
    </row>
    <row r="108" spans="1:12" ht="30" x14ac:dyDescent="0.25">
      <c r="A108" s="3" t="s">
        <v>124</v>
      </c>
      <c r="B108" s="3" t="s">
        <v>183</v>
      </c>
      <c r="C108" s="20">
        <v>5</v>
      </c>
      <c r="D108" s="20">
        <v>5</v>
      </c>
      <c r="E108" s="4">
        <v>3720000</v>
      </c>
      <c r="F108" s="4">
        <v>2800000</v>
      </c>
      <c r="G108" s="4">
        <v>440000</v>
      </c>
      <c r="H108" s="4">
        <v>0</v>
      </c>
      <c r="I108" s="4">
        <f t="shared" si="9"/>
        <v>4160000</v>
      </c>
      <c r="J108" s="4">
        <f t="shared" si="10"/>
        <v>2800000</v>
      </c>
      <c r="K108" s="4">
        <f t="shared" si="11"/>
        <v>-1360000</v>
      </c>
      <c r="L108" s="3" t="s">
        <v>242</v>
      </c>
    </row>
    <row r="109" spans="1:12" x14ac:dyDescent="0.25">
      <c r="A109" s="3" t="s">
        <v>124</v>
      </c>
      <c r="B109" s="3" t="s">
        <v>186</v>
      </c>
      <c r="C109" s="20">
        <v>5</v>
      </c>
      <c r="D109" s="20">
        <v>5</v>
      </c>
      <c r="E109" s="4">
        <v>1690000</v>
      </c>
      <c r="F109" s="4">
        <v>1287330</v>
      </c>
      <c r="G109" s="4">
        <v>810000</v>
      </c>
      <c r="H109" s="4">
        <v>331170</v>
      </c>
      <c r="I109" s="4">
        <f t="shared" si="9"/>
        <v>2500000</v>
      </c>
      <c r="J109" s="4">
        <f t="shared" si="10"/>
        <v>1618500</v>
      </c>
      <c r="K109" s="4">
        <f t="shared" si="11"/>
        <v>-881500</v>
      </c>
      <c r="L109" s="3"/>
    </row>
    <row r="110" spans="1:12" x14ac:dyDescent="0.25">
      <c r="A110" s="3" t="s">
        <v>124</v>
      </c>
      <c r="B110" s="3" t="s">
        <v>190</v>
      </c>
      <c r="C110" s="20">
        <v>1</v>
      </c>
      <c r="D110" s="20">
        <v>1</v>
      </c>
      <c r="E110" s="4">
        <v>500000</v>
      </c>
      <c r="F110" s="4">
        <v>359550</v>
      </c>
      <c r="G110" s="4">
        <v>81000</v>
      </c>
      <c r="H110" s="4">
        <v>77888</v>
      </c>
      <c r="I110" s="4">
        <f t="shared" si="9"/>
        <v>581000</v>
      </c>
      <c r="J110" s="4">
        <f t="shared" si="10"/>
        <v>437438</v>
      </c>
      <c r="K110" s="4">
        <f t="shared" si="11"/>
        <v>-143562</v>
      </c>
      <c r="L110" s="3"/>
    </row>
    <row r="111" spans="1:12" ht="30" x14ac:dyDescent="0.25">
      <c r="A111" s="3" t="s">
        <v>124</v>
      </c>
      <c r="B111" s="3" t="s">
        <v>193</v>
      </c>
      <c r="C111" s="20">
        <v>100</v>
      </c>
      <c r="D111" s="20">
        <v>100</v>
      </c>
      <c r="E111" s="4">
        <v>38000000</v>
      </c>
      <c r="F111" s="4">
        <v>28106400</v>
      </c>
      <c r="G111" s="4">
        <v>1500000</v>
      </c>
      <c r="H111" s="4">
        <v>309100</v>
      </c>
      <c r="I111" s="4">
        <f t="shared" si="9"/>
        <v>39500000</v>
      </c>
      <c r="J111" s="4">
        <f t="shared" si="10"/>
        <v>28415500</v>
      </c>
      <c r="K111" s="4">
        <f t="shared" si="11"/>
        <v>-11084500</v>
      </c>
      <c r="L111" s="3" t="s">
        <v>252</v>
      </c>
    </row>
    <row r="112" spans="1:12" ht="30" x14ac:dyDescent="0.25">
      <c r="A112" s="3" t="s">
        <v>124</v>
      </c>
      <c r="B112" s="3" t="s">
        <v>87</v>
      </c>
      <c r="C112" s="20">
        <v>100</v>
      </c>
      <c r="D112" s="20">
        <v>100</v>
      </c>
      <c r="E112" s="4">
        <v>2500000</v>
      </c>
      <c r="F112" s="4">
        <v>1202000</v>
      </c>
      <c r="G112" s="4">
        <v>2500000</v>
      </c>
      <c r="H112" s="4">
        <v>2195400</v>
      </c>
      <c r="I112" s="4">
        <f t="shared" si="9"/>
        <v>5000000</v>
      </c>
      <c r="J112" s="4">
        <f t="shared" si="10"/>
        <v>3397400</v>
      </c>
      <c r="K112" s="4">
        <f t="shared" si="11"/>
        <v>-1602600</v>
      </c>
      <c r="L112" s="3" t="s">
        <v>253</v>
      </c>
    </row>
    <row r="113" spans="1:12" ht="30" x14ac:dyDescent="0.25">
      <c r="A113" s="3" t="s">
        <v>124</v>
      </c>
      <c r="B113" s="3" t="s">
        <v>243</v>
      </c>
      <c r="C113" s="20">
        <v>2</v>
      </c>
      <c r="D113" s="20">
        <v>2</v>
      </c>
      <c r="E113" s="4">
        <v>0</v>
      </c>
      <c r="F113" s="4">
        <v>6196</v>
      </c>
      <c r="G113" s="4">
        <v>9472000</v>
      </c>
      <c r="H113" s="4">
        <v>1915004</v>
      </c>
      <c r="I113" s="4">
        <f t="shared" si="9"/>
        <v>9472000</v>
      </c>
      <c r="J113" s="4">
        <f t="shared" si="10"/>
        <v>1921200</v>
      </c>
      <c r="K113" s="4">
        <f t="shared" si="11"/>
        <v>-7550800</v>
      </c>
      <c r="L113" s="3" t="s">
        <v>244</v>
      </c>
    </row>
    <row r="114" spans="1:12" ht="30" x14ac:dyDescent="0.25">
      <c r="A114" s="3" t="s">
        <v>124</v>
      </c>
      <c r="B114" s="3" t="s">
        <v>245</v>
      </c>
      <c r="C114" s="20">
        <v>22</v>
      </c>
      <c r="D114" s="20"/>
      <c r="E114" s="4">
        <v>82540000</v>
      </c>
      <c r="F114" s="4">
        <v>0</v>
      </c>
      <c r="G114" s="4">
        <v>480000</v>
      </c>
      <c r="H114" s="4">
        <v>0</v>
      </c>
      <c r="I114" s="4">
        <f t="shared" si="9"/>
        <v>83020000</v>
      </c>
      <c r="J114" s="4">
        <f t="shared" si="10"/>
        <v>0</v>
      </c>
      <c r="K114" s="4">
        <f t="shared" si="11"/>
        <v>-83020000</v>
      </c>
      <c r="L114" s="3" t="s">
        <v>246</v>
      </c>
    </row>
    <row r="115" spans="1:12" x14ac:dyDescent="0.25">
      <c r="A115" s="3" t="s">
        <v>124</v>
      </c>
      <c r="B115" s="3" t="s">
        <v>247</v>
      </c>
      <c r="C115" s="20"/>
      <c r="D115" s="20"/>
      <c r="E115" s="4">
        <v>11243100</v>
      </c>
      <c r="F115" s="4">
        <v>0</v>
      </c>
      <c r="G115" s="4">
        <v>3538000</v>
      </c>
      <c r="H115" s="4">
        <v>0</v>
      </c>
      <c r="I115" s="4">
        <f t="shared" si="9"/>
        <v>14781100</v>
      </c>
      <c r="J115" s="4">
        <f t="shared" si="10"/>
        <v>0</v>
      </c>
      <c r="K115" s="4">
        <f t="shared" si="11"/>
        <v>-14781100</v>
      </c>
      <c r="L115" s="3" t="s">
        <v>248</v>
      </c>
    </row>
    <row r="116" spans="1:12" ht="30" x14ac:dyDescent="0.25">
      <c r="A116" s="3" t="s">
        <v>124</v>
      </c>
      <c r="B116" s="3" t="s">
        <v>249</v>
      </c>
      <c r="C116" s="20"/>
      <c r="D116" s="20"/>
      <c r="E116" s="4">
        <v>15550000</v>
      </c>
      <c r="F116" s="4">
        <v>0</v>
      </c>
      <c r="G116" s="4">
        <v>125384400</v>
      </c>
      <c r="H116" s="4">
        <v>0</v>
      </c>
      <c r="I116" s="4">
        <f t="shared" si="9"/>
        <v>140934400</v>
      </c>
      <c r="J116" s="4">
        <f t="shared" si="10"/>
        <v>0</v>
      </c>
      <c r="K116" s="4">
        <f t="shared" si="11"/>
        <v>-140934400</v>
      </c>
      <c r="L116" s="3" t="s">
        <v>250</v>
      </c>
    </row>
    <row r="117" spans="1:12" x14ac:dyDescent="0.25">
      <c r="B117" s="32" t="s">
        <v>254</v>
      </c>
      <c r="E117" s="23">
        <f t="shared" ref="E117:K117" si="12">SUM(E4:E116)</f>
        <v>833239200</v>
      </c>
      <c r="F117" s="23">
        <f t="shared" si="12"/>
        <v>463248632</v>
      </c>
      <c r="G117" s="23">
        <f t="shared" si="12"/>
        <v>442876550</v>
      </c>
      <c r="H117" s="23">
        <f t="shared" si="12"/>
        <v>164213963</v>
      </c>
      <c r="I117" s="23">
        <f t="shared" si="12"/>
        <v>1276115750</v>
      </c>
      <c r="J117" s="23">
        <f t="shared" si="12"/>
        <v>627462595</v>
      </c>
      <c r="K117" s="23">
        <f t="shared" si="12"/>
        <v>-648653155</v>
      </c>
    </row>
  </sheetData>
  <autoFilter ref="A3:L1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6"/>
  <sheetViews>
    <sheetView workbookViewId="0">
      <pane xSplit="2" ySplit="3" topLeftCell="C89" activePane="bottomRight" state="frozen"/>
      <selection pane="topRight"/>
      <selection pane="bottomLeft"/>
      <selection pane="bottomRight" activeCell="A2" sqref="A2:XFD2"/>
    </sheetView>
  </sheetViews>
  <sheetFormatPr defaultRowHeight="15" x14ac:dyDescent="0.25"/>
  <cols>
    <col min="1" max="1" width="18" customWidth="1"/>
    <col min="2" max="2" width="32" customWidth="1"/>
    <col min="3" max="4" width="9" customWidth="1"/>
    <col min="5" max="8" width="13" customWidth="1"/>
    <col min="9" max="10" width="14" customWidth="1"/>
    <col min="11" max="11" width="15" customWidth="1"/>
    <col min="12" max="12" width="36" customWidth="1"/>
  </cols>
  <sheetData>
    <row r="1" spans="1:12" ht="17.25" x14ac:dyDescent="0.3">
      <c r="A1" s="14" t="s">
        <v>255</v>
      </c>
    </row>
    <row r="3" spans="1:12" ht="39.950000000000003" customHeight="1" x14ac:dyDescent="0.25">
      <c r="A3" s="2" t="s">
        <v>109</v>
      </c>
      <c r="B3" s="2" t="s">
        <v>134</v>
      </c>
      <c r="C3" s="2" t="s">
        <v>256</v>
      </c>
      <c r="D3" s="2" t="s">
        <v>230</v>
      </c>
      <c r="E3" s="2" t="s">
        <v>257</v>
      </c>
      <c r="F3" s="2" t="s">
        <v>232</v>
      </c>
      <c r="G3" s="2" t="s">
        <v>258</v>
      </c>
      <c r="H3" s="2" t="s">
        <v>234</v>
      </c>
      <c r="I3" s="2" t="s">
        <v>259</v>
      </c>
      <c r="J3" s="2" t="s">
        <v>236</v>
      </c>
      <c r="K3" s="2" t="s">
        <v>260</v>
      </c>
      <c r="L3" s="2" t="s">
        <v>12</v>
      </c>
    </row>
    <row r="4" spans="1:12" x14ac:dyDescent="0.25">
      <c r="A4" s="3" t="s">
        <v>126</v>
      </c>
      <c r="B4" s="3" t="s">
        <v>85</v>
      </c>
      <c r="C4" s="3">
        <v>1</v>
      </c>
      <c r="D4" s="3">
        <v>1</v>
      </c>
      <c r="E4" s="4">
        <v>2500000</v>
      </c>
      <c r="F4" s="4">
        <v>975635</v>
      </c>
      <c r="G4" s="4">
        <v>1000000</v>
      </c>
      <c r="H4" s="4">
        <v>110390</v>
      </c>
      <c r="I4" s="4">
        <f t="shared" ref="I4:I35" si="0">E4+G4</f>
        <v>3500000</v>
      </c>
      <c r="J4" s="4">
        <f t="shared" ref="J4:J35" si="1">F4+H4</f>
        <v>1086025</v>
      </c>
      <c r="K4" s="4">
        <f t="shared" ref="K4:K35" si="2">J4-I4</f>
        <v>-2413975</v>
      </c>
      <c r="L4" s="3"/>
    </row>
    <row r="5" spans="1:12" x14ac:dyDescent="0.25">
      <c r="A5" s="3" t="s">
        <v>126</v>
      </c>
      <c r="B5" s="3" t="s">
        <v>75</v>
      </c>
      <c r="C5" s="3">
        <v>150</v>
      </c>
      <c r="D5" s="3">
        <v>150</v>
      </c>
      <c r="E5" s="4">
        <v>33000000</v>
      </c>
      <c r="F5" s="4">
        <v>19226400</v>
      </c>
      <c r="G5" s="4">
        <v>19950000</v>
      </c>
      <c r="H5" s="4">
        <v>12945450</v>
      </c>
      <c r="I5" s="4">
        <f t="shared" si="0"/>
        <v>52950000</v>
      </c>
      <c r="J5" s="4">
        <f t="shared" si="1"/>
        <v>32171850</v>
      </c>
      <c r="K5" s="4">
        <f t="shared" si="2"/>
        <v>-20778150</v>
      </c>
      <c r="L5" s="3"/>
    </row>
    <row r="6" spans="1:12" x14ac:dyDescent="0.25">
      <c r="A6" s="3" t="s">
        <v>126</v>
      </c>
      <c r="B6" s="3" t="s">
        <v>74</v>
      </c>
      <c r="C6" s="3">
        <v>140</v>
      </c>
      <c r="D6" s="3">
        <v>140</v>
      </c>
      <c r="E6" s="4">
        <v>25200000</v>
      </c>
      <c r="F6" s="4">
        <v>14056560</v>
      </c>
      <c r="G6" s="4">
        <v>14140000</v>
      </c>
      <c r="H6" s="4">
        <v>11105080</v>
      </c>
      <c r="I6" s="4">
        <f t="shared" si="0"/>
        <v>39340000</v>
      </c>
      <c r="J6" s="4">
        <f t="shared" si="1"/>
        <v>25161640</v>
      </c>
      <c r="K6" s="4">
        <f t="shared" si="2"/>
        <v>-14178360</v>
      </c>
      <c r="L6" s="3"/>
    </row>
    <row r="7" spans="1:12" x14ac:dyDescent="0.25">
      <c r="A7" s="3" t="s">
        <v>126</v>
      </c>
      <c r="B7" s="3" t="s">
        <v>215</v>
      </c>
      <c r="C7" s="3">
        <v>1</v>
      </c>
      <c r="D7" s="3">
        <v>1</v>
      </c>
      <c r="E7" s="4">
        <v>278000</v>
      </c>
      <c r="F7" s="4">
        <v>168795</v>
      </c>
      <c r="G7" s="4">
        <v>145000</v>
      </c>
      <c r="H7" s="4">
        <v>93087</v>
      </c>
      <c r="I7" s="4">
        <f t="shared" si="0"/>
        <v>423000</v>
      </c>
      <c r="J7" s="4">
        <f t="shared" si="1"/>
        <v>261882</v>
      </c>
      <c r="K7" s="4">
        <f t="shared" si="2"/>
        <v>-161118</v>
      </c>
      <c r="L7" s="3"/>
    </row>
    <row r="8" spans="1:12" x14ac:dyDescent="0.25">
      <c r="A8" s="3" t="s">
        <v>126</v>
      </c>
      <c r="B8" s="3" t="s">
        <v>162</v>
      </c>
      <c r="C8" s="3">
        <v>10</v>
      </c>
      <c r="D8" s="3">
        <v>10</v>
      </c>
      <c r="E8" s="4">
        <v>1014000</v>
      </c>
      <c r="F8" s="4">
        <v>705020</v>
      </c>
      <c r="G8" s="4">
        <v>240000</v>
      </c>
      <c r="H8" s="4">
        <v>1026980</v>
      </c>
      <c r="I8" s="4">
        <f t="shared" si="0"/>
        <v>1254000</v>
      </c>
      <c r="J8" s="4">
        <f t="shared" si="1"/>
        <v>1732000</v>
      </c>
      <c r="K8" s="4">
        <f t="shared" si="2"/>
        <v>478000</v>
      </c>
      <c r="L8" s="3"/>
    </row>
    <row r="9" spans="1:12" x14ac:dyDescent="0.25">
      <c r="A9" s="3" t="s">
        <v>126</v>
      </c>
      <c r="B9" s="3" t="s">
        <v>163</v>
      </c>
      <c r="C9" s="3">
        <v>35</v>
      </c>
      <c r="D9" s="3">
        <v>35</v>
      </c>
      <c r="E9" s="4">
        <v>2520000</v>
      </c>
      <c r="F9" s="4">
        <v>1910475</v>
      </c>
      <c r="G9" s="4">
        <v>560000</v>
      </c>
      <c r="H9" s="4">
        <v>3088260</v>
      </c>
      <c r="I9" s="4">
        <f t="shared" si="0"/>
        <v>3080000</v>
      </c>
      <c r="J9" s="4">
        <f t="shared" si="1"/>
        <v>4998735</v>
      </c>
      <c r="K9" s="4">
        <f t="shared" si="2"/>
        <v>1918735</v>
      </c>
      <c r="L9" s="3"/>
    </row>
    <row r="10" spans="1:12" x14ac:dyDescent="0.25">
      <c r="A10" s="3" t="s">
        <v>126</v>
      </c>
      <c r="B10" s="3" t="s">
        <v>261</v>
      </c>
      <c r="C10" s="3">
        <v>1</v>
      </c>
      <c r="D10" s="3">
        <v>1</v>
      </c>
      <c r="E10" s="4">
        <v>235000</v>
      </c>
      <c r="F10" s="4">
        <v>190704</v>
      </c>
      <c r="G10" s="4">
        <v>45000</v>
      </c>
      <c r="H10" s="4">
        <v>163548</v>
      </c>
      <c r="I10" s="4">
        <f t="shared" si="0"/>
        <v>280000</v>
      </c>
      <c r="J10" s="4">
        <f t="shared" si="1"/>
        <v>354252</v>
      </c>
      <c r="K10" s="4">
        <f t="shared" si="2"/>
        <v>74252</v>
      </c>
      <c r="L10" s="3"/>
    </row>
    <row r="11" spans="1:12" x14ac:dyDescent="0.25">
      <c r="A11" s="3" t="s">
        <v>126</v>
      </c>
      <c r="B11" s="3" t="s">
        <v>262</v>
      </c>
      <c r="C11" s="3">
        <v>10</v>
      </c>
      <c r="D11" s="3">
        <v>10</v>
      </c>
      <c r="E11" s="4">
        <v>1725000</v>
      </c>
      <c r="F11" s="4">
        <v>1630115</v>
      </c>
      <c r="G11" s="4">
        <v>380000</v>
      </c>
      <c r="H11" s="4">
        <v>1026980</v>
      </c>
      <c r="I11" s="4">
        <f t="shared" si="0"/>
        <v>2105000</v>
      </c>
      <c r="J11" s="4">
        <f t="shared" si="1"/>
        <v>2657095</v>
      </c>
      <c r="K11" s="4">
        <f t="shared" si="2"/>
        <v>552095</v>
      </c>
      <c r="L11" s="3"/>
    </row>
    <row r="12" spans="1:12" x14ac:dyDescent="0.25">
      <c r="A12" s="3" t="s">
        <v>126</v>
      </c>
      <c r="B12" s="3" t="s">
        <v>165</v>
      </c>
      <c r="C12" s="3">
        <v>10</v>
      </c>
      <c r="D12" s="3">
        <v>10</v>
      </c>
      <c r="E12" s="4">
        <v>1380000</v>
      </c>
      <c r="F12" s="4">
        <v>1527630</v>
      </c>
      <c r="G12" s="4">
        <v>230000</v>
      </c>
      <c r="H12" s="4">
        <v>1119290</v>
      </c>
      <c r="I12" s="4">
        <f t="shared" si="0"/>
        <v>1610000</v>
      </c>
      <c r="J12" s="4">
        <f t="shared" si="1"/>
        <v>2646920</v>
      </c>
      <c r="K12" s="4">
        <f t="shared" si="2"/>
        <v>1036920</v>
      </c>
      <c r="L12" s="3"/>
    </row>
    <row r="13" spans="1:12" x14ac:dyDescent="0.25">
      <c r="A13" s="3" t="s">
        <v>126</v>
      </c>
      <c r="B13" s="3" t="s">
        <v>263</v>
      </c>
      <c r="C13" s="3">
        <v>1</v>
      </c>
      <c r="D13" s="3">
        <v>1</v>
      </c>
      <c r="E13" s="4">
        <v>85000</v>
      </c>
      <c r="F13" s="4">
        <v>88862</v>
      </c>
      <c r="G13" s="4">
        <v>85000</v>
      </c>
      <c r="H13" s="4">
        <v>141931</v>
      </c>
      <c r="I13" s="4">
        <f t="shared" si="0"/>
        <v>170000</v>
      </c>
      <c r="J13" s="4">
        <f t="shared" si="1"/>
        <v>230793</v>
      </c>
      <c r="K13" s="4">
        <f t="shared" si="2"/>
        <v>60793</v>
      </c>
      <c r="L13" s="3"/>
    </row>
    <row r="14" spans="1:12" x14ac:dyDescent="0.25">
      <c r="A14" s="3" t="s">
        <v>126</v>
      </c>
      <c r="B14" s="3" t="s">
        <v>264</v>
      </c>
      <c r="C14" s="3">
        <v>1</v>
      </c>
      <c r="D14" s="3">
        <v>1</v>
      </c>
      <c r="E14" s="4">
        <v>110000</v>
      </c>
      <c r="F14" s="4">
        <v>349544</v>
      </c>
      <c r="G14" s="4">
        <v>55000</v>
      </c>
      <c r="H14" s="4">
        <v>74927</v>
      </c>
      <c r="I14" s="4">
        <f t="shared" si="0"/>
        <v>165000</v>
      </c>
      <c r="J14" s="4">
        <f t="shared" si="1"/>
        <v>424471</v>
      </c>
      <c r="K14" s="4">
        <f t="shared" si="2"/>
        <v>259471</v>
      </c>
      <c r="L14" s="3"/>
    </row>
    <row r="15" spans="1:12" x14ac:dyDescent="0.25">
      <c r="A15" s="3" t="s">
        <v>126</v>
      </c>
      <c r="B15" s="3" t="s">
        <v>214</v>
      </c>
      <c r="C15" s="3">
        <v>1</v>
      </c>
      <c r="D15" s="3">
        <v>1</v>
      </c>
      <c r="E15" s="4">
        <v>23000</v>
      </c>
      <c r="F15" s="4">
        <v>150000</v>
      </c>
      <c r="G15" s="4">
        <v>15000</v>
      </c>
      <c r="H15" s="4">
        <v>0</v>
      </c>
      <c r="I15" s="4">
        <f t="shared" si="0"/>
        <v>38000</v>
      </c>
      <c r="J15" s="4">
        <f t="shared" si="1"/>
        <v>150000</v>
      </c>
      <c r="K15" s="4">
        <f t="shared" si="2"/>
        <v>112000</v>
      </c>
      <c r="L15" s="3"/>
    </row>
    <row r="16" spans="1:12" x14ac:dyDescent="0.25">
      <c r="A16" s="3" t="s">
        <v>126</v>
      </c>
      <c r="B16" s="3" t="s">
        <v>216</v>
      </c>
      <c r="C16" s="3">
        <v>1</v>
      </c>
      <c r="D16" s="3">
        <v>1</v>
      </c>
      <c r="E16" s="4">
        <v>895000</v>
      </c>
      <c r="F16" s="4">
        <v>361476</v>
      </c>
      <c r="G16" s="4">
        <v>182000</v>
      </c>
      <c r="H16" s="4">
        <v>97774</v>
      </c>
      <c r="I16" s="4">
        <f t="shared" si="0"/>
        <v>1077000</v>
      </c>
      <c r="J16" s="4">
        <f t="shared" si="1"/>
        <v>459250</v>
      </c>
      <c r="K16" s="4">
        <f t="shared" si="2"/>
        <v>-617750</v>
      </c>
      <c r="L16" s="3"/>
    </row>
    <row r="17" spans="1:12" x14ac:dyDescent="0.25">
      <c r="A17" s="3" t="s">
        <v>126</v>
      </c>
      <c r="B17" s="3" t="s">
        <v>79</v>
      </c>
      <c r="C17" s="3">
        <v>1</v>
      </c>
      <c r="D17" s="3">
        <v>1</v>
      </c>
      <c r="E17" s="4">
        <v>3850000</v>
      </c>
      <c r="F17" s="4">
        <v>1153955</v>
      </c>
      <c r="G17" s="4">
        <v>338000</v>
      </c>
      <c r="H17" s="4">
        <v>31540</v>
      </c>
      <c r="I17" s="4">
        <f t="shared" si="0"/>
        <v>4188000</v>
      </c>
      <c r="J17" s="4">
        <f t="shared" si="1"/>
        <v>1185495</v>
      </c>
      <c r="K17" s="4">
        <f t="shared" si="2"/>
        <v>-3002505</v>
      </c>
      <c r="L17" s="3"/>
    </row>
    <row r="18" spans="1:12" x14ac:dyDescent="0.25">
      <c r="A18" s="3" t="s">
        <v>126</v>
      </c>
      <c r="B18" s="3" t="s">
        <v>265</v>
      </c>
      <c r="C18" s="3">
        <v>14</v>
      </c>
      <c r="D18" s="3">
        <v>14</v>
      </c>
      <c r="E18" s="4">
        <v>7574000</v>
      </c>
      <c r="F18" s="4">
        <v>4704000</v>
      </c>
      <c r="G18" s="4">
        <v>6636000</v>
      </c>
      <c r="H18" s="4">
        <v>1328978</v>
      </c>
      <c r="I18" s="4">
        <f t="shared" si="0"/>
        <v>14210000</v>
      </c>
      <c r="J18" s="4">
        <f t="shared" si="1"/>
        <v>6032978</v>
      </c>
      <c r="K18" s="4">
        <f t="shared" si="2"/>
        <v>-8177022</v>
      </c>
      <c r="L18" s="3"/>
    </row>
    <row r="19" spans="1:12" x14ac:dyDescent="0.25">
      <c r="A19" s="3" t="s">
        <v>126</v>
      </c>
      <c r="B19" s="3" t="s">
        <v>266</v>
      </c>
      <c r="C19" s="3">
        <v>14</v>
      </c>
      <c r="D19" s="3">
        <v>14</v>
      </c>
      <c r="E19" s="4">
        <v>10416000</v>
      </c>
      <c r="F19" s="4">
        <v>7840000</v>
      </c>
      <c r="G19" s="4">
        <v>1232000</v>
      </c>
      <c r="H19" s="4">
        <v>0</v>
      </c>
      <c r="I19" s="4">
        <f t="shared" si="0"/>
        <v>11648000</v>
      </c>
      <c r="J19" s="4">
        <f t="shared" si="1"/>
        <v>7840000</v>
      </c>
      <c r="K19" s="4">
        <f t="shared" si="2"/>
        <v>-3808000</v>
      </c>
      <c r="L19" s="3"/>
    </row>
    <row r="20" spans="1:12" x14ac:dyDescent="0.25">
      <c r="A20" s="3" t="s">
        <v>126</v>
      </c>
      <c r="B20" s="3" t="s">
        <v>267</v>
      </c>
      <c r="C20" s="3">
        <v>14</v>
      </c>
      <c r="D20" s="3">
        <v>14</v>
      </c>
      <c r="E20" s="4">
        <v>4732000</v>
      </c>
      <c r="F20" s="4">
        <v>3604524</v>
      </c>
      <c r="G20" s="4">
        <v>2268000</v>
      </c>
      <c r="H20" s="4">
        <v>927276</v>
      </c>
      <c r="I20" s="4">
        <f t="shared" si="0"/>
        <v>7000000</v>
      </c>
      <c r="J20" s="4">
        <f t="shared" si="1"/>
        <v>4531800</v>
      </c>
      <c r="K20" s="4">
        <f t="shared" si="2"/>
        <v>-2468200</v>
      </c>
      <c r="L20" s="3"/>
    </row>
    <row r="21" spans="1:12" x14ac:dyDescent="0.25">
      <c r="A21" s="3" t="s">
        <v>126</v>
      </c>
      <c r="B21" s="3" t="s">
        <v>268</v>
      </c>
      <c r="C21" s="3">
        <v>10</v>
      </c>
      <c r="D21" s="3"/>
      <c r="E21" s="4">
        <v>4500000</v>
      </c>
      <c r="F21" s="4">
        <v>0</v>
      </c>
      <c r="G21" s="4">
        <v>810000</v>
      </c>
      <c r="H21" s="4">
        <v>0</v>
      </c>
      <c r="I21" s="4">
        <f t="shared" si="0"/>
        <v>5310000</v>
      </c>
      <c r="J21" s="4">
        <f t="shared" si="1"/>
        <v>0</v>
      </c>
      <c r="K21" s="4">
        <f t="shared" si="2"/>
        <v>-5310000</v>
      </c>
      <c r="L21" s="3" t="s">
        <v>269</v>
      </c>
    </row>
    <row r="22" spans="1:12" x14ac:dyDescent="0.25">
      <c r="A22" s="3" t="s">
        <v>126</v>
      </c>
      <c r="B22" s="3" t="s">
        <v>247</v>
      </c>
      <c r="C22" s="3"/>
      <c r="D22" s="3"/>
      <c r="E22" s="4">
        <v>5001850</v>
      </c>
      <c r="F22" s="4">
        <v>0</v>
      </c>
      <c r="G22" s="4">
        <v>2415550</v>
      </c>
      <c r="H22" s="4">
        <v>0</v>
      </c>
      <c r="I22" s="4">
        <f t="shared" si="0"/>
        <v>7417400</v>
      </c>
      <c r="J22" s="4">
        <f t="shared" si="1"/>
        <v>0</v>
      </c>
      <c r="K22" s="4">
        <f t="shared" si="2"/>
        <v>-7417400</v>
      </c>
      <c r="L22" s="3" t="s">
        <v>248</v>
      </c>
    </row>
    <row r="23" spans="1:12" x14ac:dyDescent="0.25">
      <c r="A23" s="3" t="s">
        <v>126</v>
      </c>
      <c r="B23" s="3" t="s">
        <v>270</v>
      </c>
      <c r="C23" s="3">
        <v>157.33333333333329</v>
      </c>
      <c r="D23" s="3"/>
      <c r="E23" s="4">
        <v>0</v>
      </c>
      <c r="F23" s="4">
        <v>0</v>
      </c>
      <c r="G23" s="4">
        <v>5192000</v>
      </c>
      <c r="H23" s="4">
        <v>0</v>
      </c>
      <c r="I23" s="4">
        <f t="shared" si="0"/>
        <v>5192000</v>
      </c>
      <c r="J23" s="4">
        <f t="shared" si="1"/>
        <v>0</v>
      </c>
      <c r="K23" s="4">
        <f t="shared" si="2"/>
        <v>-5192000</v>
      </c>
      <c r="L23" s="3" t="s">
        <v>250</v>
      </c>
    </row>
    <row r="24" spans="1:12" x14ac:dyDescent="0.25">
      <c r="A24" s="3" t="s">
        <v>127</v>
      </c>
      <c r="B24" s="3" t="s">
        <v>271</v>
      </c>
      <c r="C24" s="3">
        <v>300</v>
      </c>
      <c r="D24" s="3">
        <v>300</v>
      </c>
      <c r="E24" s="4">
        <v>4500000</v>
      </c>
      <c r="F24" s="4">
        <v>2683500</v>
      </c>
      <c r="G24" s="4">
        <v>8100000</v>
      </c>
      <c r="H24" s="4">
        <v>14239200</v>
      </c>
      <c r="I24" s="4">
        <f t="shared" si="0"/>
        <v>12600000</v>
      </c>
      <c r="J24" s="4">
        <f t="shared" si="1"/>
        <v>16922700</v>
      </c>
      <c r="K24" s="4">
        <f t="shared" si="2"/>
        <v>4322700</v>
      </c>
      <c r="L24" s="3"/>
    </row>
    <row r="25" spans="1:12" x14ac:dyDescent="0.25">
      <c r="A25" s="3" t="s">
        <v>127</v>
      </c>
      <c r="B25" s="3" t="s">
        <v>85</v>
      </c>
      <c r="C25" s="3">
        <v>1</v>
      </c>
      <c r="D25" s="3">
        <v>1</v>
      </c>
      <c r="E25" s="4">
        <v>2500000</v>
      </c>
      <c r="F25" s="4">
        <v>975635</v>
      </c>
      <c r="G25" s="4">
        <v>1000000</v>
      </c>
      <c r="H25" s="4">
        <v>110390</v>
      </c>
      <c r="I25" s="4">
        <f t="shared" si="0"/>
        <v>3500000</v>
      </c>
      <c r="J25" s="4">
        <f t="shared" si="1"/>
        <v>1086025</v>
      </c>
      <c r="K25" s="4">
        <f t="shared" si="2"/>
        <v>-2413975</v>
      </c>
      <c r="L25" s="3"/>
    </row>
    <row r="26" spans="1:12" x14ac:dyDescent="0.25">
      <c r="A26" s="3" t="s">
        <v>127</v>
      </c>
      <c r="B26" s="3" t="s">
        <v>75</v>
      </c>
      <c r="C26" s="3">
        <v>140</v>
      </c>
      <c r="D26" s="3">
        <v>140</v>
      </c>
      <c r="E26" s="4">
        <v>30800000</v>
      </c>
      <c r="F26" s="4">
        <v>17944640</v>
      </c>
      <c r="G26" s="4">
        <v>18620000</v>
      </c>
      <c r="H26" s="4">
        <v>12082420</v>
      </c>
      <c r="I26" s="4">
        <f t="shared" si="0"/>
        <v>49420000</v>
      </c>
      <c r="J26" s="4">
        <f t="shared" si="1"/>
        <v>30027060</v>
      </c>
      <c r="K26" s="4">
        <f t="shared" si="2"/>
        <v>-19392940</v>
      </c>
      <c r="L26" s="3"/>
    </row>
    <row r="27" spans="1:12" x14ac:dyDescent="0.25">
      <c r="A27" s="3" t="s">
        <v>127</v>
      </c>
      <c r="B27" s="3" t="s">
        <v>74</v>
      </c>
      <c r="C27" s="3">
        <v>90</v>
      </c>
      <c r="D27" s="3">
        <v>90</v>
      </c>
      <c r="E27" s="4">
        <v>16200000</v>
      </c>
      <c r="F27" s="4">
        <v>9036360</v>
      </c>
      <c r="G27" s="4">
        <v>9090000</v>
      </c>
      <c r="H27" s="4">
        <v>7138980</v>
      </c>
      <c r="I27" s="4">
        <f t="shared" si="0"/>
        <v>25290000</v>
      </c>
      <c r="J27" s="4">
        <f t="shared" si="1"/>
        <v>16175340</v>
      </c>
      <c r="K27" s="4">
        <f t="shared" si="2"/>
        <v>-9114660</v>
      </c>
      <c r="L27" s="3"/>
    </row>
    <row r="28" spans="1:12" x14ac:dyDescent="0.25">
      <c r="A28" s="3" t="s">
        <v>127</v>
      </c>
      <c r="B28" s="3" t="s">
        <v>162</v>
      </c>
      <c r="C28" s="3">
        <v>10</v>
      </c>
      <c r="D28" s="3">
        <v>10</v>
      </c>
      <c r="E28" s="4">
        <v>1014000</v>
      </c>
      <c r="F28" s="4">
        <v>705020</v>
      </c>
      <c r="G28" s="4">
        <v>240000</v>
      </c>
      <c r="H28" s="4">
        <v>1026980</v>
      </c>
      <c r="I28" s="4">
        <f t="shared" si="0"/>
        <v>1254000</v>
      </c>
      <c r="J28" s="4">
        <f t="shared" si="1"/>
        <v>1732000</v>
      </c>
      <c r="K28" s="4">
        <f t="shared" si="2"/>
        <v>478000</v>
      </c>
      <c r="L28" s="3"/>
    </row>
    <row r="29" spans="1:12" x14ac:dyDescent="0.25">
      <c r="A29" s="3" t="s">
        <v>127</v>
      </c>
      <c r="B29" s="3" t="s">
        <v>163</v>
      </c>
      <c r="C29" s="3">
        <v>50</v>
      </c>
      <c r="D29" s="3">
        <v>50</v>
      </c>
      <c r="E29" s="4">
        <v>3600000</v>
      </c>
      <c r="F29" s="4">
        <v>2729250</v>
      </c>
      <c r="G29" s="4">
        <v>800000</v>
      </c>
      <c r="H29" s="4">
        <v>4411800</v>
      </c>
      <c r="I29" s="4">
        <f t="shared" si="0"/>
        <v>4400000</v>
      </c>
      <c r="J29" s="4">
        <f t="shared" si="1"/>
        <v>7141050</v>
      </c>
      <c r="K29" s="4">
        <f t="shared" si="2"/>
        <v>2741050</v>
      </c>
      <c r="L29" s="3"/>
    </row>
    <row r="30" spans="1:12" x14ac:dyDescent="0.25">
      <c r="A30" s="3" t="s">
        <v>127</v>
      </c>
      <c r="B30" s="3" t="s">
        <v>262</v>
      </c>
      <c r="C30" s="3">
        <v>6</v>
      </c>
      <c r="D30" s="3">
        <v>6</v>
      </c>
      <c r="E30" s="4">
        <v>1098000</v>
      </c>
      <c r="F30" s="4">
        <v>1023072</v>
      </c>
      <c r="G30" s="4">
        <v>252000</v>
      </c>
      <c r="H30" s="4">
        <v>616188</v>
      </c>
      <c r="I30" s="4">
        <f t="shared" si="0"/>
        <v>1350000</v>
      </c>
      <c r="J30" s="4">
        <f t="shared" si="1"/>
        <v>1639260</v>
      </c>
      <c r="K30" s="4">
        <f t="shared" si="2"/>
        <v>289260</v>
      </c>
      <c r="L30" s="3"/>
    </row>
    <row r="31" spans="1:12" x14ac:dyDescent="0.25">
      <c r="A31" s="3" t="s">
        <v>127</v>
      </c>
      <c r="B31" s="3" t="s">
        <v>165</v>
      </c>
      <c r="C31" s="3">
        <v>10</v>
      </c>
      <c r="D31" s="3">
        <v>10</v>
      </c>
      <c r="E31" s="4">
        <v>1380000</v>
      </c>
      <c r="F31" s="4">
        <v>1527630</v>
      </c>
      <c r="G31" s="4">
        <v>230000</v>
      </c>
      <c r="H31" s="4">
        <v>1119290</v>
      </c>
      <c r="I31" s="4">
        <f t="shared" si="0"/>
        <v>1610000</v>
      </c>
      <c r="J31" s="4">
        <f t="shared" si="1"/>
        <v>2646920</v>
      </c>
      <c r="K31" s="4">
        <f t="shared" si="2"/>
        <v>1036920</v>
      </c>
      <c r="L31" s="3"/>
    </row>
    <row r="32" spans="1:12" x14ac:dyDescent="0.25">
      <c r="A32" s="3" t="s">
        <v>127</v>
      </c>
      <c r="B32" s="3" t="s">
        <v>79</v>
      </c>
      <c r="C32" s="3">
        <v>1</v>
      </c>
      <c r="D32" s="3">
        <v>1</v>
      </c>
      <c r="E32" s="4">
        <v>3850000</v>
      </c>
      <c r="F32" s="4">
        <v>1153955</v>
      </c>
      <c r="G32" s="4">
        <v>338000</v>
      </c>
      <c r="H32" s="4">
        <v>31540</v>
      </c>
      <c r="I32" s="4">
        <f t="shared" si="0"/>
        <v>4188000</v>
      </c>
      <c r="J32" s="4">
        <f t="shared" si="1"/>
        <v>1185495</v>
      </c>
      <c r="K32" s="4">
        <f t="shared" si="2"/>
        <v>-3002505</v>
      </c>
      <c r="L32" s="3"/>
    </row>
    <row r="33" spans="1:12" x14ac:dyDescent="0.25">
      <c r="A33" s="24" t="s">
        <v>127</v>
      </c>
      <c r="B33" s="24" t="s">
        <v>174</v>
      </c>
      <c r="C33" s="24"/>
      <c r="D33" s="24">
        <v>2</v>
      </c>
      <c r="E33" s="10">
        <v>0</v>
      </c>
      <c r="F33" s="10">
        <v>528332</v>
      </c>
      <c r="G33" s="10">
        <v>0</v>
      </c>
      <c r="H33" s="10">
        <v>63080</v>
      </c>
      <c r="I33" s="10">
        <f t="shared" si="0"/>
        <v>0</v>
      </c>
      <c r="J33" s="10">
        <f t="shared" si="1"/>
        <v>591412</v>
      </c>
      <c r="K33" s="10">
        <f t="shared" si="2"/>
        <v>591412</v>
      </c>
      <c r="L33" s="24" t="s">
        <v>272</v>
      </c>
    </row>
    <row r="34" spans="1:12" x14ac:dyDescent="0.25">
      <c r="A34" s="3" t="s">
        <v>127</v>
      </c>
      <c r="B34" s="3" t="s">
        <v>265</v>
      </c>
      <c r="C34" s="3">
        <v>12</v>
      </c>
      <c r="D34" s="3">
        <v>12</v>
      </c>
      <c r="E34" s="4">
        <v>6492000</v>
      </c>
      <c r="F34" s="4">
        <v>4032000</v>
      </c>
      <c r="G34" s="4">
        <v>5688000</v>
      </c>
      <c r="H34" s="4">
        <v>1139124</v>
      </c>
      <c r="I34" s="4">
        <f t="shared" si="0"/>
        <v>12180000</v>
      </c>
      <c r="J34" s="4">
        <f t="shared" si="1"/>
        <v>5171124</v>
      </c>
      <c r="K34" s="4">
        <f t="shared" si="2"/>
        <v>-7008876</v>
      </c>
      <c r="L34" s="3"/>
    </row>
    <row r="35" spans="1:12" x14ac:dyDescent="0.25">
      <c r="A35" s="3" t="s">
        <v>127</v>
      </c>
      <c r="B35" s="3" t="s">
        <v>266</v>
      </c>
      <c r="C35" s="3">
        <v>12</v>
      </c>
      <c r="D35" s="3">
        <v>12</v>
      </c>
      <c r="E35" s="4">
        <v>8928000</v>
      </c>
      <c r="F35" s="4">
        <v>6720000</v>
      </c>
      <c r="G35" s="4">
        <v>1056000</v>
      </c>
      <c r="H35" s="4">
        <v>0</v>
      </c>
      <c r="I35" s="4">
        <f t="shared" si="0"/>
        <v>9984000</v>
      </c>
      <c r="J35" s="4">
        <f t="shared" si="1"/>
        <v>6720000</v>
      </c>
      <c r="K35" s="4">
        <f t="shared" si="2"/>
        <v>-3264000</v>
      </c>
      <c r="L35" s="3"/>
    </row>
    <row r="36" spans="1:12" x14ac:dyDescent="0.25">
      <c r="A36" s="3" t="s">
        <v>127</v>
      </c>
      <c r="B36" s="3" t="s">
        <v>267</v>
      </c>
      <c r="C36" s="3">
        <v>12</v>
      </c>
      <c r="D36" s="3">
        <v>12</v>
      </c>
      <c r="E36" s="4">
        <v>4056000</v>
      </c>
      <c r="F36" s="4">
        <v>3089592</v>
      </c>
      <c r="G36" s="4">
        <v>1944000</v>
      </c>
      <c r="H36" s="4">
        <v>794808</v>
      </c>
      <c r="I36" s="4">
        <f t="shared" ref="I36:I67" si="3">E36+G36</f>
        <v>6000000</v>
      </c>
      <c r="J36" s="4">
        <f t="shared" ref="J36:J67" si="4">F36+H36</f>
        <v>3884400</v>
      </c>
      <c r="K36" s="4">
        <f t="shared" ref="K36:K67" si="5">J36-I36</f>
        <v>-2115600</v>
      </c>
      <c r="L36" s="3"/>
    </row>
    <row r="37" spans="1:12" x14ac:dyDescent="0.25">
      <c r="A37" s="3" t="s">
        <v>127</v>
      </c>
      <c r="B37" s="3" t="s">
        <v>273</v>
      </c>
      <c r="C37" s="3">
        <v>300</v>
      </c>
      <c r="D37" s="3">
        <v>300</v>
      </c>
      <c r="E37" s="4">
        <v>3900000</v>
      </c>
      <c r="F37" s="4">
        <v>4206900</v>
      </c>
      <c r="G37" s="4">
        <v>3000000</v>
      </c>
      <c r="H37" s="4">
        <v>2176200</v>
      </c>
      <c r="I37" s="4">
        <f t="shared" si="3"/>
        <v>6900000</v>
      </c>
      <c r="J37" s="4">
        <f t="shared" si="4"/>
        <v>6383100</v>
      </c>
      <c r="K37" s="4">
        <f t="shared" si="5"/>
        <v>-516900</v>
      </c>
      <c r="L37" s="3"/>
    </row>
    <row r="38" spans="1:12" x14ac:dyDescent="0.25">
      <c r="A38" s="3" t="s">
        <v>127</v>
      </c>
      <c r="B38" s="3" t="s">
        <v>219</v>
      </c>
      <c r="C38" s="3">
        <v>2</v>
      </c>
      <c r="D38" s="3">
        <v>2</v>
      </c>
      <c r="E38" s="4">
        <v>700000</v>
      </c>
      <c r="F38" s="4">
        <v>425250</v>
      </c>
      <c r="G38" s="4">
        <v>200000</v>
      </c>
      <c r="H38" s="4">
        <v>189830</v>
      </c>
      <c r="I38" s="4">
        <f t="shared" si="3"/>
        <v>900000</v>
      </c>
      <c r="J38" s="4">
        <f t="shared" si="4"/>
        <v>615080</v>
      </c>
      <c r="K38" s="4">
        <f t="shared" si="5"/>
        <v>-284920</v>
      </c>
      <c r="L38" s="3"/>
    </row>
    <row r="39" spans="1:12" x14ac:dyDescent="0.25">
      <c r="A39" s="3" t="s">
        <v>127</v>
      </c>
      <c r="B39" s="3" t="s">
        <v>208</v>
      </c>
      <c r="C39" s="3">
        <v>16</v>
      </c>
      <c r="D39" s="3">
        <v>16</v>
      </c>
      <c r="E39" s="4">
        <v>6080000</v>
      </c>
      <c r="F39" s="4">
        <v>3402000</v>
      </c>
      <c r="G39" s="4">
        <v>1600000</v>
      </c>
      <c r="H39" s="4">
        <v>1518640</v>
      </c>
      <c r="I39" s="4">
        <f t="shared" si="3"/>
        <v>7680000</v>
      </c>
      <c r="J39" s="4">
        <f t="shared" si="4"/>
        <v>4920640</v>
      </c>
      <c r="K39" s="4">
        <f t="shared" si="5"/>
        <v>-2759360</v>
      </c>
      <c r="L39" s="3"/>
    </row>
    <row r="40" spans="1:12" x14ac:dyDescent="0.25">
      <c r="A40" s="3" t="s">
        <v>127</v>
      </c>
      <c r="B40" s="3" t="s">
        <v>268</v>
      </c>
      <c r="C40" s="3">
        <v>8</v>
      </c>
      <c r="D40" s="3"/>
      <c r="E40" s="4">
        <v>3600000</v>
      </c>
      <c r="F40" s="4">
        <v>0</v>
      </c>
      <c r="G40" s="4">
        <v>648000</v>
      </c>
      <c r="H40" s="4">
        <v>0</v>
      </c>
      <c r="I40" s="4">
        <f t="shared" si="3"/>
        <v>4248000</v>
      </c>
      <c r="J40" s="4">
        <f t="shared" si="4"/>
        <v>0</v>
      </c>
      <c r="K40" s="4">
        <f t="shared" si="5"/>
        <v>-4248000</v>
      </c>
      <c r="L40" s="3" t="s">
        <v>269</v>
      </c>
    </row>
    <row r="41" spans="1:12" x14ac:dyDescent="0.25">
      <c r="A41" s="3" t="s">
        <v>127</v>
      </c>
      <c r="B41" s="3" t="s">
        <v>247</v>
      </c>
      <c r="C41" s="3"/>
      <c r="D41" s="3"/>
      <c r="E41" s="4">
        <v>4175900</v>
      </c>
      <c r="F41" s="4">
        <v>0</v>
      </c>
      <c r="G41" s="4">
        <v>1995300</v>
      </c>
      <c r="H41" s="4">
        <v>0</v>
      </c>
      <c r="I41" s="4">
        <f t="shared" si="3"/>
        <v>6171200</v>
      </c>
      <c r="J41" s="4">
        <f t="shared" si="4"/>
        <v>0</v>
      </c>
      <c r="K41" s="4">
        <f t="shared" si="5"/>
        <v>-6171200</v>
      </c>
      <c r="L41" s="3" t="s">
        <v>248</v>
      </c>
    </row>
    <row r="42" spans="1:12" x14ac:dyDescent="0.25">
      <c r="A42" s="3" t="s">
        <v>127</v>
      </c>
      <c r="B42" s="3" t="s">
        <v>270</v>
      </c>
      <c r="C42" s="3">
        <v>140</v>
      </c>
      <c r="D42" s="3"/>
      <c r="E42" s="4">
        <v>6000000</v>
      </c>
      <c r="F42" s="4">
        <v>0</v>
      </c>
      <c r="G42" s="4">
        <v>46488000</v>
      </c>
      <c r="H42" s="4">
        <v>0</v>
      </c>
      <c r="I42" s="4">
        <f t="shared" si="3"/>
        <v>52488000</v>
      </c>
      <c r="J42" s="4">
        <f t="shared" si="4"/>
        <v>0</v>
      </c>
      <c r="K42" s="4">
        <f t="shared" si="5"/>
        <v>-52488000</v>
      </c>
      <c r="L42" s="3" t="s">
        <v>250</v>
      </c>
    </row>
    <row r="43" spans="1:12" ht="30" x14ac:dyDescent="0.25">
      <c r="A43" s="3" t="s">
        <v>128</v>
      </c>
      <c r="B43" s="3" t="s">
        <v>274</v>
      </c>
      <c r="C43" s="3">
        <v>1</v>
      </c>
      <c r="D43" s="3">
        <v>1</v>
      </c>
      <c r="E43" s="4">
        <v>850000</v>
      </c>
      <c r="F43" s="4">
        <v>282800</v>
      </c>
      <c r="G43" s="4">
        <v>500000</v>
      </c>
      <c r="H43" s="4">
        <v>100928</v>
      </c>
      <c r="I43" s="4">
        <f t="shared" si="3"/>
        <v>1350000</v>
      </c>
      <c r="J43" s="4">
        <f t="shared" si="4"/>
        <v>383728</v>
      </c>
      <c r="K43" s="4">
        <f t="shared" si="5"/>
        <v>-966272</v>
      </c>
      <c r="L43" s="3"/>
    </row>
    <row r="44" spans="1:12" ht="30" x14ac:dyDescent="0.25">
      <c r="A44" s="3" t="s">
        <v>128</v>
      </c>
      <c r="B44" s="3" t="s">
        <v>275</v>
      </c>
      <c r="C44" s="3">
        <v>1</v>
      </c>
      <c r="D44" s="3">
        <v>1</v>
      </c>
      <c r="E44" s="4">
        <v>12177000</v>
      </c>
      <c r="F44" s="4">
        <v>8931825</v>
      </c>
      <c r="G44" s="4">
        <v>2030000</v>
      </c>
      <c r="H44" s="4">
        <v>832812</v>
      </c>
      <c r="I44" s="4">
        <f t="shared" si="3"/>
        <v>14207000</v>
      </c>
      <c r="J44" s="4">
        <f t="shared" si="4"/>
        <v>9764637</v>
      </c>
      <c r="K44" s="4">
        <f t="shared" si="5"/>
        <v>-4442363</v>
      </c>
      <c r="L44" s="3"/>
    </row>
    <row r="45" spans="1:12" ht="30" x14ac:dyDescent="0.25">
      <c r="A45" s="3" t="s">
        <v>128</v>
      </c>
      <c r="B45" s="3" t="s">
        <v>149</v>
      </c>
      <c r="C45" s="3">
        <v>10</v>
      </c>
      <c r="D45" s="3">
        <v>10</v>
      </c>
      <c r="E45" s="4">
        <v>7440000</v>
      </c>
      <c r="F45" s="4">
        <v>2575500</v>
      </c>
      <c r="G45" s="4">
        <v>810000</v>
      </c>
      <c r="H45" s="4">
        <v>778882</v>
      </c>
      <c r="I45" s="4">
        <f t="shared" si="3"/>
        <v>8250000</v>
      </c>
      <c r="J45" s="4">
        <f t="shared" si="4"/>
        <v>3354382</v>
      </c>
      <c r="K45" s="4">
        <f t="shared" si="5"/>
        <v>-4895618</v>
      </c>
      <c r="L45" s="3"/>
    </row>
    <row r="46" spans="1:12" ht="30" x14ac:dyDescent="0.25">
      <c r="A46" s="3" t="s">
        <v>128</v>
      </c>
      <c r="B46" s="3" t="s">
        <v>276</v>
      </c>
      <c r="C46" s="3">
        <v>10</v>
      </c>
      <c r="D46" s="3">
        <v>10</v>
      </c>
      <c r="E46" s="4">
        <v>4500000</v>
      </c>
      <c r="F46" s="4">
        <v>2065500</v>
      </c>
      <c r="G46" s="4">
        <v>810000</v>
      </c>
      <c r="H46" s="4">
        <v>1931502</v>
      </c>
      <c r="I46" s="4">
        <f t="shared" si="3"/>
        <v>5310000</v>
      </c>
      <c r="J46" s="4">
        <f t="shared" si="4"/>
        <v>3997002</v>
      </c>
      <c r="K46" s="4">
        <f t="shared" si="5"/>
        <v>-1312998</v>
      </c>
      <c r="L46" s="3"/>
    </row>
    <row r="47" spans="1:12" ht="30" x14ac:dyDescent="0.25">
      <c r="A47" s="3" t="s">
        <v>128</v>
      </c>
      <c r="B47" s="3" t="s">
        <v>277</v>
      </c>
      <c r="C47" s="3">
        <v>166</v>
      </c>
      <c r="D47" s="3">
        <v>166</v>
      </c>
      <c r="E47" s="4">
        <v>79680000</v>
      </c>
      <c r="F47" s="4">
        <v>42710970</v>
      </c>
      <c r="G47" s="4">
        <v>13446000</v>
      </c>
      <c r="H47" s="4">
        <v>9479779</v>
      </c>
      <c r="I47" s="4">
        <f t="shared" si="3"/>
        <v>93126000</v>
      </c>
      <c r="J47" s="4">
        <f t="shared" si="4"/>
        <v>52190749</v>
      </c>
      <c r="K47" s="4">
        <f t="shared" si="5"/>
        <v>-40935251</v>
      </c>
      <c r="L47" s="3"/>
    </row>
    <row r="48" spans="1:12" ht="30" x14ac:dyDescent="0.25">
      <c r="A48" s="3" t="s">
        <v>128</v>
      </c>
      <c r="B48" s="3" t="s">
        <v>77</v>
      </c>
      <c r="C48" s="3">
        <v>40</v>
      </c>
      <c r="D48" s="3">
        <v>40</v>
      </c>
      <c r="E48" s="4">
        <v>4000000</v>
      </c>
      <c r="F48" s="4">
        <v>2142000</v>
      </c>
      <c r="G48" s="4">
        <v>3240000</v>
      </c>
      <c r="H48" s="4">
        <v>3115528</v>
      </c>
      <c r="I48" s="4">
        <f t="shared" si="3"/>
        <v>7240000</v>
      </c>
      <c r="J48" s="4">
        <f t="shared" si="4"/>
        <v>5257528</v>
      </c>
      <c r="K48" s="4">
        <f t="shared" si="5"/>
        <v>-1982472</v>
      </c>
      <c r="L48" s="3"/>
    </row>
    <row r="49" spans="1:12" ht="30" x14ac:dyDescent="0.25">
      <c r="A49" s="3" t="s">
        <v>128</v>
      </c>
      <c r="B49" s="3" t="s">
        <v>278</v>
      </c>
      <c r="C49" s="3">
        <v>2500</v>
      </c>
      <c r="D49" s="3">
        <v>2500</v>
      </c>
      <c r="E49" s="4">
        <v>30000000</v>
      </c>
      <c r="F49" s="4">
        <v>49075000</v>
      </c>
      <c r="G49" s="4">
        <v>25000000</v>
      </c>
      <c r="H49" s="4">
        <v>18135000</v>
      </c>
      <c r="I49" s="4">
        <f t="shared" si="3"/>
        <v>55000000</v>
      </c>
      <c r="J49" s="4">
        <f t="shared" si="4"/>
        <v>67210000</v>
      </c>
      <c r="K49" s="4">
        <f t="shared" si="5"/>
        <v>12210000</v>
      </c>
      <c r="L49" s="3"/>
    </row>
    <row r="50" spans="1:12" ht="30" x14ac:dyDescent="0.25">
      <c r="A50" s="3" t="s">
        <v>128</v>
      </c>
      <c r="B50" s="3" t="s">
        <v>279</v>
      </c>
      <c r="C50" s="3">
        <v>30</v>
      </c>
      <c r="D50" s="3">
        <v>30</v>
      </c>
      <c r="E50" s="4">
        <v>1350000</v>
      </c>
      <c r="F50" s="4">
        <v>1580100</v>
      </c>
      <c r="G50" s="4">
        <v>300000</v>
      </c>
      <c r="H50" s="4">
        <v>264930</v>
      </c>
      <c r="I50" s="4">
        <f t="shared" si="3"/>
        <v>1650000</v>
      </c>
      <c r="J50" s="4">
        <f t="shared" si="4"/>
        <v>1845030</v>
      </c>
      <c r="K50" s="4">
        <f t="shared" si="5"/>
        <v>195030</v>
      </c>
      <c r="L50" s="3"/>
    </row>
    <row r="51" spans="1:12" ht="30" x14ac:dyDescent="0.25">
      <c r="A51" s="3" t="s">
        <v>128</v>
      </c>
      <c r="B51" s="3" t="s">
        <v>271</v>
      </c>
      <c r="C51" s="3">
        <v>2600</v>
      </c>
      <c r="D51" s="3">
        <v>2600</v>
      </c>
      <c r="E51" s="4">
        <v>39000000</v>
      </c>
      <c r="F51" s="4">
        <v>23257000</v>
      </c>
      <c r="G51" s="4">
        <v>70200000</v>
      </c>
      <c r="H51" s="4">
        <v>123406400</v>
      </c>
      <c r="I51" s="4">
        <f t="shared" si="3"/>
        <v>109200000</v>
      </c>
      <c r="J51" s="4">
        <f t="shared" si="4"/>
        <v>146663400</v>
      </c>
      <c r="K51" s="4">
        <f t="shared" si="5"/>
        <v>37463400</v>
      </c>
      <c r="L51" s="3"/>
    </row>
    <row r="52" spans="1:12" ht="30" x14ac:dyDescent="0.25">
      <c r="A52" s="3" t="s">
        <v>128</v>
      </c>
      <c r="B52" s="3" t="s">
        <v>85</v>
      </c>
      <c r="C52" s="3">
        <v>1</v>
      </c>
      <c r="D52" s="3">
        <v>1</v>
      </c>
      <c r="E52" s="4">
        <v>2500000</v>
      </c>
      <c r="F52" s="4">
        <v>975635</v>
      </c>
      <c r="G52" s="4">
        <v>1000000</v>
      </c>
      <c r="H52" s="4">
        <v>110390</v>
      </c>
      <c r="I52" s="4">
        <f t="shared" si="3"/>
        <v>3500000</v>
      </c>
      <c r="J52" s="4">
        <f t="shared" si="4"/>
        <v>1086025</v>
      </c>
      <c r="K52" s="4">
        <f t="shared" si="5"/>
        <v>-2413975</v>
      </c>
      <c r="L52" s="3"/>
    </row>
    <row r="53" spans="1:12" ht="30" x14ac:dyDescent="0.25">
      <c r="A53" s="3" t="s">
        <v>128</v>
      </c>
      <c r="B53" s="3" t="s">
        <v>75</v>
      </c>
      <c r="C53" s="3">
        <v>240</v>
      </c>
      <c r="D53" s="3">
        <v>240</v>
      </c>
      <c r="E53" s="4">
        <v>52800000</v>
      </c>
      <c r="F53" s="4">
        <v>30762240</v>
      </c>
      <c r="G53" s="4">
        <v>31920000</v>
      </c>
      <c r="H53" s="4">
        <v>20712720</v>
      </c>
      <c r="I53" s="4">
        <f t="shared" si="3"/>
        <v>84720000</v>
      </c>
      <c r="J53" s="4">
        <f t="shared" si="4"/>
        <v>51474960</v>
      </c>
      <c r="K53" s="4">
        <f t="shared" si="5"/>
        <v>-33245040</v>
      </c>
      <c r="L53" s="3"/>
    </row>
    <row r="54" spans="1:12" ht="30" x14ac:dyDescent="0.25">
      <c r="A54" s="3" t="s">
        <v>128</v>
      </c>
      <c r="B54" s="3" t="s">
        <v>74</v>
      </c>
      <c r="C54" s="3">
        <v>130</v>
      </c>
      <c r="D54" s="3">
        <v>130</v>
      </c>
      <c r="E54" s="4">
        <v>23400000</v>
      </c>
      <c r="F54" s="4">
        <v>13052520</v>
      </c>
      <c r="G54" s="4">
        <v>13130000</v>
      </c>
      <c r="H54" s="4">
        <v>10311860</v>
      </c>
      <c r="I54" s="4">
        <f t="shared" si="3"/>
        <v>36530000</v>
      </c>
      <c r="J54" s="4">
        <f t="shared" si="4"/>
        <v>23364380</v>
      </c>
      <c r="K54" s="4">
        <f t="shared" si="5"/>
        <v>-13165620</v>
      </c>
      <c r="L54" s="3"/>
    </row>
    <row r="55" spans="1:12" ht="30" x14ac:dyDescent="0.25">
      <c r="A55" s="3" t="s">
        <v>128</v>
      </c>
      <c r="B55" s="3" t="s">
        <v>162</v>
      </c>
      <c r="C55" s="3">
        <v>15</v>
      </c>
      <c r="D55" s="3">
        <v>15</v>
      </c>
      <c r="E55" s="4">
        <v>1521000</v>
      </c>
      <c r="F55" s="4">
        <v>1057530</v>
      </c>
      <c r="G55" s="4">
        <v>360000</v>
      </c>
      <c r="H55" s="4">
        <v>1540470</v>
      </c>
      <c r="I55" s="4">
        <f t="shared" si="3"/>
        <v>1881000</v>
      </c>
      <c r="J55" s="4">
        <f t="shared" si="4"/>
        <v>2598000</v>
      </c>
      <c r="K55" s="4">
        <f t="shared" si="5"/>
        <v>717000</v>
      </c>
      <c r="L55" s="3"/>
    </row>
    <row r="56" spans="1:12" ht="30" x14ac:dyDescent="0.25">
      <c r="A56" s="3" t="s">
        <v>128</v>
      </c>
      <c r="B56" s="3" t="s">
        <v>163</v>
      </c>
      <c r="C56" s="3">
        <v>50</v>
      </c>
      <c r="D56" s="3">
        <v>50</v>
      </c>
      <c r="E56" s="4">
        <v>3600000</v>
      </c>
      <c r="F56" s="4">
        <v>2729250</v>
      </c>
      <c r="G56" s="4">
        <v>800000</v>
      </c>
      <c r="H56" s="4">
        <v>4411800</v>
      </c>
      <c r="I56" s="4">
        <f t="shared" si="3"/>
        <v>4400000</v>
      </c>
      <c r="J56" s="4">
        <f t="shared" si="4"/>
        <v>7141050</v>
      </c>
      <c r="K56" s="4">
        <f t="shared" si="5"/>
        <v>2741050</v>
      </c>
      <c r="L56" s="3"/>
    </row>
    <row r="57" spans="1:12" ht="30" x14ac:dyDescent="0.25">
      <c r="A57" s="3" t="s">
        <v>128</v>
      </c>
      <c r="B57" s="3" t="s">
        <v>262</v>
      </c>
      <c r="C57" s="3">
        <v>10</v>
      </c>
      <c r="D57" s="3">
        <v>10</v>
      </c>
      <c r="E57" s="4">
        <v>1830000</v>
      </c>
      <c r="F57" s="4">
        <v>1705120</v>
      </c>
      <c r="G57" s="4">
        <v>420000</v>
      </c>
      <c r="H57" s="4">
        <v>1026980</v>
      </c>
      <c r="I57" s="4">
        <f t="shared" si="3"/>
        <v>2250000</v>
      </c>
      <c r="J57" s="4">
        <f t="shared" si="4"/>
        <v>2732100</v>
      </c>
      <c r="K57" s="4">
        <f t="shared" si="5"/>
        <v>482100</v>
      </c>
      <c r="L57" s="3"/>
    </row>
    <row r="58" spans="1:12" ht="30" x14ac:dyDescent="0.25">
      <c r="A58" s="3" t="s">
        <v>128</v>
      </c>
      <c r="B58" s="3" t="s">
        <v>165</v>
      </c>
      <c r="C58" s="3">
        <v>10</v>
      </c>
      <c r="D58" s="3">
        <v>10</v>
      </c>
      <c r="E58" s="4">
        <v>1380000</v>
      </c>
      <c r="F58" s="4">
        <v>1527630</v>
      </c>
      <c r="G58" s="4">
        <v>230000</v>
      </c>
      <c r="H58" s="4">
        <v>1119290</v>
      </c>
      <c r="I58" s="4">
        <f t="shared" si="3"/>
        <v>1610000</v>
      </c>
      <c r="J58" s="4">
        <f t="shared" si="4"/>
        <v>2646920</v>
      </c>
      <c r="K58" s="4">
        <f t="shared" si="5"/>
        <v>1036920</v>
      </c>
      <c r="L58" s="3"/>
    </row>
    <row r="59" spans="1:12" ht="30" x14ac:dyDescent="0.25">
      <c r="A59" s="3" t="s">
        <v>128</v>
      </c>
      <c r="B59" s="3" t="s">
        <v>79</v>
      </c>
      <c r="C59" s="3">
        <v>1</v>
      </c>
      <c r="D59" s="3">
        <v>1</v>
      </c>
      <c r="E59" s="4">
        <v>3850000</v>
      </c>
      <c r="F59" s="4">
        <v>1153955</v>
      </c>
      <c r="G59" s="4">
        <v>338000</v>
      </c>
      <c r="H59" s="4">
        <v>31540</v>
      </c>
      <c r="I59" s="4">
        <f t="shared" si="3"/>
        <v>4188000</v>
      </c>
      <c r="J59" s="4">
        <f t="shared" si="4"/>
        <v>1185495</v>
      </c>
      <c r="K59" s="4">
        <f t="shared" si="5"/>
        <v>-3002505</v>
      </c>
      <c r="L59" s="3"/>
    </row>
    <row r="60" spans="1:12" ht="30" x14ac:dyDescent="0.25">
      <c r="A60" s="3" t="s">
        <v>128</v>
      </c>
      <c r="B60" s="3" t="s">
        <v>265</v>
      </c>
      <c r="C60" s="3">
        <v>18</v>
      </c>
      <c r="D60" s="3">
        <v>18</v>
      </c>
      <c r="E60" s="4">
        <v>9738000</v>
      </c>
      <c r="F60" s="4">
        <v>6048000</v>
      </c>
      <c r="G60" s="4">
        <v>8532000</v>
      </c>
      <c r="H60" s="4">
        <v>1708686</v>
      </c>
      <c r="I60" s="4">
        <f t="shared" si="3"/>
        <v>18270000</v>
      </c>
      <c r="J60" s="4">
        <f t="shared" si="4"/>
        <v>7756686</v>
      </c>
      <c r="K60" s="4">
        <f t="shared" si="5"/>
        <v>-10513314</v>
      </c>
      <c r="L60" s="3"/>
    </row>
    <row r="61" spans="1:12" ht="30" x14ac:dyDescent="0.25">
      <c r="A61" s="3" t="s">
        <v>128</v>
      </c>
      <c r="B61" s="3" t="s">
        <v>266</v>
      </c>
      <c r="C61" s="3">
        <v>18</v>
      </c>
      <c r="D61" s="3">
        <v>18</v>
      </c>
      <c r="E61" s="4">
        <v>13392000</v>
      </c>
      <c r="F61" s="4">
        <v>10080000</v>
      </c>
      <c r="G61" s="4">
        <v>1584000</v>
      </c>
      <c r="H61" s="4">
        <v>0</v>
      </c>
      <c r="I61" s="4">
        <f t="shared" si="3"/>
        <v>14976000</v>
      </c>
      <c r="J61" s="4">
        <f t="shared" si="4"/>
        <v>10080000</v>
      </c>
      <c r="K61" s="4">
        <f t="shared" si="5"/>
        <v>-4896000</v>
      </c>
      <c r="L61" s="3"/>
    </row>
    <row r="62" spans="1:12" ht="30" x14ac:dyDescent="0.25">
      <c r="A62" s="3" t="s">
        <v>128</v>
      </c>
      <c r="B62" s="3" t="s">
        <v>267</v>
      </c>
      <c r="C62" s="3">
        <v>18</v>
      </c>
      <c r="D62" s="3">
        <v>18</v>
      </c>
      <c r="E62" s="4">
        <v>6084000</v>
      </c>
      <c r="F62" s="4">
        <v>4634388</v>
      </c>
      <c r="G62" s="4">
        <v>2916000</v>
      </c>
      <c r="H62" s="4">
        <v>1192212</v>
      </c>
      <c r="I62" s="4">
        <f t="shared" si="3"/>
        <v>9000000</v>
      </c>
      <c r="J62" s="4">
        <f t="shared" si="4"/>
        <v>5826600</v>
      </c>
      <c r="K62" s="4">
        <f t="shared" si="5"/>
        <v>-3173400</v>
      </c>
      <c r="L62" s="3"/>
    </row>
    <row r="63" spans="1:12" ht="30" x14ac:dyDescent="0.25">
      <c r="A63" s="3" t="s">
        <v>128</v>
      </c>
      <c r="B63" s="3" t="s">
        <v>273</v>
      </c>
      <c r="C63" s="3">
        <v>800</v>
      </c>
      <c r="D63" s="3">
        <v>800</v>
      </c>
      <c r="E63" s="4">
        <v>10400000</v>
      </c>
      <c r="F63" s="4">
        <v>11218400</v>
      </c>
      <c r="G63" s="4">
        <v>8000000</v>
      </c>
      <c r="H63" s="4">
        <v>5803200</v>
      </c>
      <c r="I63" s="4">
        <f t="shared" si="3"/>
        <v>18400000</v>
      </c>
      <c r="J63" s="4">
        <f t="shared" si="4"/>
        <v>17021600</v>
      </c>
      <c r="K63" s="4">
        <f t="shared" si="5"/>
        <v>-1378400</v>
      </c>
      <c r="L63" s="3"/>
    </row>
    <row r="64" spans="1:12" ht="30" x14ac:dyDescent="0.25">
      <c r="A64" s="3" t="s">
        <v>128</v>
      </c>
      <c r="B64" s="3" t="s">
        <v>219</v>
      </c>
      <c r="C64" s="3">
        <v>4</v>
      </c>
      <c r="D64" s="3">
        <v>4</v>
      </c>
      <c r="E64" s="4">
        <v>1400000</v>
      </c>
      <c r="F64" s="4">
        <v>850500</v>
      </c>
      <c r="G64" s="4">
        <v>400000</v>
      </c>
      <c r="H64" s="4">
        <v>379660</v>
      </c>
      <c r="I64" s="4">
        <f t="shared" si="3"/>
        <v>1800000</v>
      </c>
      <c r="J64" s="4">
        <f t="shared" si="4"/>
        <v>1230160</v>
      </c>
      <c r="K64" s="4">
        <f t="shared" si="5"/>
        <v>-569840</v>
      </c>
      <c r="L64" s="3"/>
    </row>
    <row r="65" spans="1:12" ht="30" x14ac:dyDescent="0.25">
      <c r="A65" s="3" t="s">
        <v>128</v>
      </c>
      <c r="B65" s="3" t="s">
        <v>208</v>
      </c>
      <c r="C65" s="3">
        <v>22</v>
      </c>
      <c r="D65" s="3">
        <v>22</v>
      </c>
      <c r="E65" s="4">
        <v>8360000</v>
      </c>
      <c r="F65" s="4">
        <v>4677750</v>
      </c>
      <c r="G65" s="4">
        <v>2200000</v>
      </c>
      <c r="H65" s="4">
        <v>2088130</v>
      </c>
      <c r="I65" s="4">
        <f t="shared" si="3"/>
        <v>10560000</v>
      </c>
      <c r="J65" s="4">
        <f t="shared" si="4"/>
        <v>6765880</v>
      </c>
      <c r="K65" s="4">
        <f t="shared" si="5"/>
        <v>-3794120</v>
      </c>
      <c r="L65" s="3"/>
    </row>
    <row r="66" spans="1:12" ht="30" x14ac:dyDescent="0.25">
      <c r="A66" s="3" t="s">
        <v>128</v>
      </c>
      <c r="B66" s="3" t="s">
        <v>268</v>
      </c>
      <c r="C66" s="3">
        <v>21</v>
      </c>
      <c r="D66" s="3"/>
      <c r="E66" s="4">
        <v>11240000</v>
      </c>
      <c r="F66" s="4">
        <v>0</v>
      </c>
      <c r="G66" s="4">
        <v>831000</v>
      </c>
      <c r="H66" s="4">
        <v>0</v>
      </c>
      <c r="I66" s="4">
        <f t="shared" si="3"/>
        <v>12071000</v>
      </c>
      <c r="J66" s="4">
        <f t="shared" si="4"/>
        <v>0</v>
      </c>
      <c r="K66" s="4">
        <f t="shared" si="5"/>
        <v>-12071000</v>
      </c>
      <c r="L66" s="3" t="s">
        <v>269</v>
      </c>
    </row>
    <row r="67" spans="1:12" ht="30" x14ac:dyDescent="0.25">
      <c r="A67" s="3" t="s">
        <v>128</v>
      </c>
      <c r="B67" s="3" t="s">
        <v>247</v>
      </c>
      <c r="C67" s="3"/>
      <c r="D67" s="3"/>
      <c r="E67" s="4">
        <v>14916600</v>
      </c>
      <c r="F67" s="4">
        <v>0</v>
      </c>
      <c r="G67" s="4">
        <v>7839850</v>
      </c>
      <c r="H67" s="4">
        <v>0</v>
      </c>
      <c r="I67" s="4">
        <f t="shared" si="3"/>
        <v>22756450</v>
      </c>
      <c r="J67" s="4">
        <f t="shared" si="4"/>
        <v>0</v>
      </c>
      <c r="K67" s="4">
        <f t="shared" si="5"/>
        <v>-22756450</v>
      </c>
      <c r="L67" s="3" t="s">
        <v>248</v>
      </c>
    </row>
    <row r="68" spans="1:12" ht="30" x14ac:dyDescent="0.25">
      <c r="A68" s="3" t="s">
        <v>128</v>
      </c>
      <c r="B68" s="3" t="s">
        <v>270</v>
      </c>
      <c r="C68" s="3">
        <v>230.66666666666671</v>
      </c>
      <c r="D68" s="3"/>
      <c r="E68" s="4">
        <v>4000000</v>
      </c>
      <c r="F68" s="4">
        <v>0</v>
      </c>
      <c r="G68" s="4">
        <v>35480000</v>
      </c>
      <c r="H68" s="4">
        <v>0</v>
      </c>
      <c r="I68" s="4">
        <f t="shared" ref="I68:I99" si="6">E68+G68</f>
        <v>39480000</v>
      </c>
      <c r="J68" s="4">
        <f t="shared" ref="J68:J99" si="7">F68+H68</f>
        <v>0</v>
      </c>
      <c r="K68" s="4">
        <f t="shared" ref="K68:K99" si="8">J68-I68</f>
        <v>-39480000</v>
      </c>
      <c r="L68" s="3" t="s">
        <v>250</v>
      </c>
    </row>
    <row r="69" spans="1:12" x14ac:dyDescent="0.25">
      <c r="A69" s="3" t="s">
        <v>129</v>
      </c>
      <c r="B69" s="3" t="s">
        <v>274</v>
      </c>
      <c r="C69" s="3">
        <v>1</v>
      </c>
      <c r="D69" s="3">
        <v>1</v>
      </c>
      <c r="E69" s="4">
        <v>850000</v>
      </c>
      <c r="F69" s="4">
        <v>282800</v>
      </c>
      <c r="G69" s="4">
        <v>500000</v>
      </c>
      <c r="H69" s="4">
        <v>100928</v>
      </c>
      <c r="I69" s="4">
        <f t="shared" si="6"/>
        <v>1350000</v>
      </c>
      <c r="J69" s="4">
        <f t="shared" si="7"/>
        <v>383728</v>
      </c>
      <c r="K69" s="4">
        <f t="shared" si="8"/>
        <v>-966272</v>
      </c>
      <c r="L69" s="3"/>
    </row>
    <row r="70" spans="1:12" x14ac:dyDescent="0.25">
      <c r="A70" s="3" t="s">
        <v>129</v>
      </c>
      <c r="B70" s="3" t="s">
        <v>275</v>
      </c>
      <c r="C70" s="3">
        <v>1</v>
      </c>
      <c r="D70" s="3">
        <v>1</v>
      </c>
      <c r="E70" s="4">
        <v>12177000</v>
      </c>
      <c r="F70" s="4">
        <v>8931825</v>
      </c>
      <c r="G70" s="4">
        <v>2030000</v>
      </c>
      <c r="H70" s="4">
        <v>832812</v>
      </c>
      <c r="I70" s="4">
        <f t="shared" si="6"/>
        <v>14207000</v>
      </c>
      <c r="J70" s="4">
        <f t="shared" si="7"/>
        <v>9764637</v>
      </c>
      <c r="K70" s="4">
        <f t="shared" si="8"/>
        <v>-4442363</v>
      </c>
      <c r="L70" s="3"/>
    </row>
    <row r="71" spans="1:12" x14ac:dyDescent="0.25">
      <c r="A71" s="3" t="s">
        <v>129</v>
      </c>
      <c r="B71" s="3" t="s">
        <v>149</v>
      </c>
      <c r="C71" s="3">
        <v>11</v>
      </c>
      <c r="D71" s="3">
        <v>11</v>
      </c>
      <c r="E71" s="4">
        <v>8184000</v>
      </c>
      <c r="F71" s="4">
        <v>2833050</v>
      </c>
      <c r="G71" s="4">
        <v>891000</v>
      </c>
      <c r="H71" s="4">
        <v>856770</v>
      </c>
      <c r="I71" s="4">
        <f t="shared" si="6"/>
        <v>9075000</v>
      </c>
      <c r="J71" s="4">
        <f t="shared" si="7"/>
        <v>3689820</v>
      </c>
      <c r="K71" s="4">
        <f t="shared" si="8"/>
        <v>-5385180</v>
      </c>
      <c r="L71" s="3"/>
    </row>
    <row r="72" spans="1:12" x14ac:dyDescent="0.25">
      <c r="A72" s="3" t="s">
        <v>129</v>
      </c>
      <c r="B72" s="3" t="s">
        <v>276</v>
      </c>
      <c r="C72" s="3">
        <v>11</v>
      </c>
      <c r="D72" s="3">
        <v>11</v>
      </c>
      <c r="E72" s="4">
        <v>4950000</v>
      </c>
      <c r="F72" s="4">
        <v>2272050</v>
      </c>
      <c r="G72" s="4">
        <v>891000</v>
      </c>
      <c r="H72" s="4">
        <v>2124652</v>
      </c>
      <c r="I72" s="4">
        <f t="shared" si="6"/>
        <v>5841000</v>
      </c>
      <c r="J72" s="4">
        <f t="shared" si="7"/>
        <v>4396702</v>
      </c>
      <c r="K72" s="4">
        <f t="shared" si="8"/>
        <v>-1444298</v>
      </c>
      <c r="L72" s="3"/>
    </row>
    <row r="73" spans="1:12" x14ac:dyDescent="0.25">
      <c r="A73" s="3" t="s">
        <v>129</v>
      </c>
      <c r="B73" s="3" t="s">
        <v>277</v>
      </c>
      <c r="C73" s="3">
        <v>121</v>
      </c>
      <c r="D73" s="3">
        <v>121</v>
      </c>
      <c r="E73" s="4">
        <v>58080000</v>
      </c>
      <c r="F73" s="4">
        <v>31132695</v>
      </c>
      <c r="G73" s="4">
        <v>9801000</v>
      </c>
      <c r="H73" s="4">
        <v>6909959</v>
      </c>
      <c r="I73" s="4">
        <f t="shared" si="6"/>
        <v>67881000</v>
      </c>
      <c r="J73" s="4">
        <f t="shared" si="7"/>
        <v>38042654</v>
      </c>
      <c r="K73" s="4">
        <f t="shared" si="8"/>
        <v>-29838346</v>
      </c>
      <c r="L73" s="3"/>
    </row>
    <row r="74" spans="1:12" x14ac:dyDescent="0.25">
      <c r="A74" s="3" t="s">
        <v>129</v>
      </c>
      <c r="B74" s="3" t="s">
        <v>77</v>
      </c>
      <c r="C74" s="3">
        <v>30</v>
      </c>
      <c r="D74" s="3">
        <v>30</v>
      </c>
      <c r="E74" s="4">
        <v>3000000</v>
      </c>
      <c r="F74" s="4">
        <v>1606500</v>
      </c>
      <c r="G74" s="4">
        <v>2430000</v>
      </c>
      <c r="H74" s="4">
        <v>2336646</v>
      </c>
      <c r="I74" s="4">
        <f t="shared" si="6"/>
        <v>5430000</v>
      </c>
      <c r="J74" s="4">
        <f t="shared" si="7"/>
        <v>3943146</v>
      </c>
      <c r="K74" s="4">
        <f t="shared" si="8"/>
        <v>-1486854</v>
      </c>
      <c r="L74" s="3"/>
    </row>
    <row r="75" spans="1:12" x14ac:dyDescent="0.25">
      <c r="A75" s="3" t="s">
        <v>129</v>
      </c>
      <c r="B75" s="3" t="s">
        <v>278</v>
      </c>
      <c r="C75" s="3">
        <v>2500</v>
      </c>
      <c r="D75" s="3">
        <v>2500</v>
      </c>
      <c r="E75" s="4">
        <v>30000000</v>
      </c>
      <c r="F75" s="4">
        <v>49075000</v>
      </c>
      <c r="G75" s="4">
        <v>25000000</v>
      </c>
      <c r="H75" s="4">
        <v>18135000</v>
      </c>
      <c r="I75" s="4">
        <f t="shared" si="6"/>
        <v>55000000</v>
      </c>
      <c r="J75" s="4">
        <f t="shared" si="7"/>
        <v>67210000</v>
      </c>
      <c r="K75" s="4">
        <f t="shared" si="8"/>
        <v>12210000</v>
      </c>
      <c r="L75" s="3"/>
    </row>
    <row r="76" spans="1:12" x14ac:dyDescent="0.25">
      <c r="A76" s="3" t="s">
        <v>129</v>
      </c>
      <c r="B76" s="3" t="s">
        <v>279</v>
      </c>
      <c r="C76" s="3">
        <v>100</v>
      </c>
      <c r="D76" s="3">
        <v>100</v>
      </c>
      <c r="E76" s="4">
        <v>4500000</v>
      </c>
      <c r="F76" s="4">
        <v>5267000</v>
      </c>
      <c r="G76" s="4">
        <v>1000000</v>
      </c>
      <c r="H76" s="4">
        <v>883100</v>
      </c>
      <c r="I76" s="4">
        <f t="shared" si="6"/>
        <v>5500000</v>
      </c>
      <c r="J76" s="4">
        <f t="shared" si="7"/>
        <v>6150100</v>
      </c>
      <c r="K76" s="4">
        <f t="shared" si="8"/>
        <v>650100</v>
      </c>
      <c r="L76" s="3"/>
    </row>
    <row r="77" spans="1:12" x14ac:dyDescent="0.25">
      <c r="A77" s="3" t="s">
        <v>129</v>
      </c>
      <c r="B77" s="3" t="s">
        <v>271</v>
      </c>
      <c r="C77" s="3">
        <v>1600</v>
      </c>
      <c r="D77" s="3">
        <v>1600</v>
      </c>
      <c r="E77" s="4">
        <v>24000000</v>
      </c>
      <c r="F77" s="4">
        <v>14312000</v>
      </c>
      <c r="G77" s="4">
        <v>43200000</v>
      </c>
      <c r="H77" s="4">
        <v>75942400</v>
      </c>
      <c r="I77" s="4">
        <f t="shared" si="6"/>
        <v>67200000</v>
      </c>
      <c r="J77" s="4">
        <f t="shared" si="7"/>
        <v>90254400</v>
      </c>
      <c r="K77" s="4">
        <f t="shared" si="8"/>
        <v>23054400</v>
      </c>
      <c r="L77" s="3"/>
    </row>
    <row r="78" spans="1:12" x14ac:dyDescent="0.25">
      <c r="A78" s="3" t="s">
        <v>129</v>
      </c>
      <c r="B78" s="3" t="s">
        <v>280</v>
      </c>
      <c r="C78" s="3">
        <v>200</v>
      </c>
      <c r="D78" s="3">
        <v>200</v>
      </c>
      <c r="E78" s="4">
        <v>5000000</v>
      </c>
      <c r="F78" s="4">
        <v>2404000</v>
      </c>
      <c r="G78" s="4">
        <v>2000000</v>
      </c>
      <c r="H78" s="4">
        <v>4390800</v>
      </c>
      <c r="I78" s="4">
        <f t="shared" si="6"/>
        <v>7000000</v>
      </c>
      <c r="J78" s="4">
        <f t="shared" si="7"/>
        <v>6794800</v>
      </c>
      <c r="K78" s="4">
        <f t="shared" si="8"/>
        <v>-205200</v>
      </c>
      <c r="L78" s="3"/>
    </row>
    <row r="79" spans="1:12" x14ac:dyDescent="0.25">
      <c r="A79" s="3" t="s">
        <v>129</v>
      </c>
      <c r="B79" s="3" t="s">
        <v>75</v>
      </c>
      <c r="C79" s="3">
        <v>100</v>
      </c>
      <c r="D79" s="3">
        <v>100</v>
      </c>
      <c r="E79" s="4">
        <v>22000000</v>
      </c>
      <c r="F79" s="4">
        <v>12817600</v>
      </c>
      <c r="G79" s="4">
        <v>13300000</v>
      </c>
      <c r="H79" s="4">
        <v>8630300</v>
      </c>
      <c r="I79" s="4">
        <f t="shared" si="6"/>
        <v>35300000</v>
      </c>
      <c r="J79" s="4">
        <f t="shared" si="7"/>
        <v>21447900</v>
      </c>
      <c r="K79" s="4">
        <f t="shared" si="8"/>
        <v>-13852100</v>
      </c>
      <c r="L79" s="3"/>
    </row>
    <row r="80" spans="1:12" x14ac:dyDescent="0.25">
      <c r="A80" s="3" t="s">
        <v>129</v>
      </c>
      <c r="B80" s="3" t="s">
        <v>74</v>
      </c>
      <c r="C80" s="3">
        <v>150</v>
      </c>
      <c r="D80" s="3">
        <v>150</v>
      </c>
      <c r="E80" s="4">
        <v>27000000</v>
      </c>
      <c r="F80" s="4">
        <v>15060600</v>
      </c>
      <c r="G80" s="4">
        <v>15150000</v>
      </c>
      <c r="H80" s="4">
        <v>11898300</v>
      </c>
      <c r="I80" s="4">
        <f t="shared" si="6"/>
        <v>42150000</v>
      </c>
      <c r="J80" s="4">
        <f t="shared" si="7"/>
        <v>26958900</v>
      </c>
      <c r="K80" s="4">
        <f t="shared" si="8"/>
        <v>-15191100</v>
      </c>
      <c r="L80" s="3"/>
    </row>
    <row r="81" spans="1:12" x14ac:dyDescent="0.25">
      <c r="A81" s="3" t="s">
        <v>129</v>
      </c>
      <c r="B81" s="3" t="s">
        <v>162</v>
      </c>
      <c r="C81" s="3">
        <v>6</v>
      </c>
      <c r="D81" s="3">
        <v>6</v>
      </c>
      <c r="E81" s="4">
        <v>608400</v>
      </c>
      <c r="F81" s="4">
        <v>423012</v>
      </c>
      <c r="G81" s="4">
        <v>144000</v>
      </c>
      <c r="H81" s="4">
        <v>616188</v>
      </c>
      <c r="I81" s="4">
        <f t="shared" si="6"/>
        <v>752400</v>
      </c>
      <c r="J81" s="4">
        <f t="shared" si="7"/>
        <v>1039200</v>
      </c>
      <c r="K81" s="4">
        <f t="shared" si="8"/>
        <v>286800</v>
      </c>
      <c r="L81" s="3"/>
    </row>
    <row r="82" spans="1:12" x14ac:dyDescent="0.25">
      <c r="A82" s="3" t="s">
        <v>129</v>
      </c>
      <c r="B82" s="3" t="s">
        <v>163</v>
      </c>
      <c r="C82" s="3">
        <v>80</v>
      </c>
      <c r="D82" s="3">
        <v>80</v>
      </c>
      <c r="E82" s="4">
        <v>5760000</v>
      </c>
      <c r="F82" s="4">
        <v>4366800</v>
      </c>
      <c r="G82" s="4">
        <v>1280000</v>
      </c>
      <c r="H82" s="4">
        <v>7058880</v>
      </c>
      <c r="I82" s="4">
        <f t="shared" si="6"/>
        <v>7040000</v>
      </c>
      <c r="J82" s="4">
        <f t="shared" si="7"/>
        <v>11425680</v>
      </c>
      <c r="K82" s="4">
        <f t="shared" si="8"/>
        <v>4385680</v>
      </c>
      <c r="L82" s="3"/>
    </row>
    <row r="83" spans="1:12" x14ac:dyDescent="0.25">
      <c r="A83" s="3" t="s">
        <v>129</v>
      </c>
      <c r="B83" s="3" t="s">
        <v>262</v>
      </c>
      <c r="C83" s="3">
        <v>5</v>
      </c>
      <c r="D83" s="3">
        <v>5</v>
      </c>
      <c r="E83" s="4">
        <v>810000</v>
      </c>
      <c r="F83" s="4">
        <v>852560</v>
      </c>
      <c r="G83" s="4">
        <v>170000</v>
      </c>
      <c r="H83" s="4">
        <v>513490</v>
      </c>
      <c r="I83" s="4">
        <f t="shared" si="6"/>
        <v>980000</v>
      </c>
      <c r="J83" s="4">
        <f t="shared" si="7"/>
        <v>1366050</v>
      </c>
      <c r="K83" s="4">
        <f t="shared" si="8"/>
        <v>386050</v>
      </c>
      <c r="L83" s="3"/>
    </row>
    <row r="84" spans="1:12" x14ac:dyDescent="0.25">
      <c r="A84" s="3" t="s">
        <v>129</v>
      </c>
      <c r="B84" s="3" t="s">
        <v>165</v>
      </c>
      <c r="C84" s="3">
        <v>15</v>
      </c>
      <c r="D84" s="3">
        <v>15</v>
      </c>
      <c r="E84" s="4">
        <v>2070000</v>
      </c>
      <c r="F84" s="4">
        <v>2291445</v>
      </c>
      <c r="G84" s="4">
        <v>345000</v>
      </c>
      <c r="H84" s="4">
        <v>1678935</v>
      </c>
      <c r="I84" s="4">
        <f t="shared" si="6"/>
        <v>2415000</v>
      </c>
      <c r="J84" s="4">
        <f t="shared" si="7"/>
        <v>3970380</v>
      </c>
      <c r="K84" s="4">
        <f t="shared" si="8"/>
        <v>1555380</v>
      </c>
      <c r="L84" s="3"/>
    </row>
    <row r="85" spans="1:12" x14ac:dyDescent="0.25">
      <c r="A85" s="3" t="s">
        <v>129</v>
      </c>
      <c r="B85" s="3" t="s">
        <v>79</v>
      </c>
      <c r="C85" s="3">
        <v>1</v>
      </c>
      <c r="D85" s="3">
        <v>1</v>
      </c>
      <c r="E85" s="4">
        <v>3850000</v>
      </c>
      <c r="F85" s="4">
        <v>1153955</v>
      </c>
      <c r="G85" s="4">
        <v>338000</v>
      </c>
      <c r="H85" s="4">
        <v>31540</v>
      </c>
      <c r="I85" s="4">
        <f t="shared" si="6"/>
        <v>4188000</v>
      </c>
      <c r="J85" s="4">
        <f t="shared" si="7"/>
        <v>1185495</v>
      </c>
      <c r="K85" s="4">
        <f t="shared" si="8"/>
        <v>-3002505</v>
      </c>
      <c r="L85" s="3"/>
    </row>
    <row r="86" spans="1:12" x14ac:dyDescent="0.25">
      <c r="A86" s="3" t="s">
        <v>129</v>
      </c>
      <c r="B86" s="3" t="s">
        <v>265</v>
      </c>
      <c r="C86" s="3">
        <v>13</v>
      </c>
      <c r="D86" s="3">
        <v>13</v>
      </c>
      <c r="E86" s="4">
        <v>7033000</v>
      </c>
      <c r="F86" s="4">
        <v>4368000</v>
      </c>
      <c r="G86" s="4">
        <v>6162000</v>
      </c>
      <c r="H86" s="4">
        <v>1234051</v>
      </c>
      <c r="I86" s="4">
        <f t="shared" si="6"/>
        <v>13195000</v>
      </c>
      <c r="J86" s="4">
        <f t="shared" si="7"/>
        <v>5602051</v>
      </c>
      <c r="K86" s="4">
        <f t="shared" si="8"/>
        <v>-7592949</v>
      </c>
      <c r="L86" s="3"/>
    </row>
    <row r="87" spans="1:12" x14ac:dyDescent="0.25">
      <c r="A87" s="3" t="s">
        <v>129</v>
      </c>
      <c r="B87" s="3" t="s">
        <v>266</v>
      </c>
      <c r="C87" s="3">
        <v>13</v>
      </c>
      <c r="D87" s="3">
        <v>13</v>
      </c>
      <c r="E87" s="4">
        <v>9672000</v>
      </c>
      <c r="F87" s="4">
        <v>7280000</v>
      </c>
      <c r="G87" s="4">
        <v>1144000</v>
      </c>
      <c r="H87" s="4">
        <v>0</v>
      </c>
      <c r="I87" s="4">
        <f t="shared" si="6"/>
        <v>10816000</v>
      </c>
      <c r="J87" s="4">
        <f t="shared" si="7"/>
        <v>7280000</v>
      </c>
      <c r="K87" s="4">
        <f t="shared" si="8"/>
        <v>-3536000</v>
      </c>
      <c r="L87" s="3"/>
    </row>
    <row r="88" spans="1:12" x14ac:dyDescent="0.25">
      <c r="A88" s="3" t="s">
        <v>129</v>
      </c>
      <c r="B88" s="3" t="s">
        <v>267</v>
      </c>
      <c r="C88" s="3">
        <v>13</v>
      </c>
      <c r="D88" s="3">
        <v>13</v>
      </c>
      <c r="E88" s="4">
        <v>4394000</v>
      </c>
      <c r="F88" s="4">
        <v>3347058</v>
      </c>
      <c r="G88" s="4">
        <v>2106000</v>
      </c>
      <c r="H88" s="4">
        <v>861042</v>
      </c>
      <c r="I88" s="4">
        <f t="shared" si="6"/>
        <v>6500000</v>
      </c>
      <c r="J88" s="4">
        <f t="shared" si="7"/>
        <v>4208100</v>
      </c>
      <c r="K88" s="4">
        <f t="shared" si="8"/>
        <v>-2291900</v>
      </c>
      <c r="L88" s="3"/>
    </row>
    <row r="89" spans="1:12" x14ac:dyDescent="0.25">
      <c r="A89" s="3" t="s">
        <v>129</v>
      </c>
      <c r="B89" s="3" t="s">
        <v>273</v>
      </c>
      <c r="C89" s="3">
        <v>600</v>
      </c>
      <c r="D89" s="3">
        <v>600</v>
      </c>
      <c r="E89" s="4">
        <v>7800000</v>
      </c>
      <c r="F89" s="4">
        <v>8413800</v>
      </c>
      <c r="G89" s="4">
        <v>6000000</v>
      </c>
      <c r="H89" s="4">
        <v>4352400</v>
      </c>
      <c r="I89" s="4">
        <f t="shared" si="6"/>
        <v>13800000</v>
      </c>
      <c r="J89" s="4">
        <f t="shared" si="7"/>
        <v>12766200</v>
      </c>
      <c r="K89" s="4">
        <f t="shared" si="8"/>
        <v>-1033800</v>
      </c>
      <c r="L89" s="3"/>
    </row>
    <row r="90" spans="1:12" x14ac:dyDescent="0.25">
      <c r="A90" s="3" t="s">
        <v>129</v>
      </c>
      <c r="B90" s="3" t="s">
        <v>219</v>
      </c>
      <c r="C90" s="3">
        <v>5</v>
      </c>
      <c r="D90" s="3">
        <v>5</v>
      </c>
      <c r="E90" s="4">
        <v>1750000</v>
      </c>
      <c r="F90" s="4">
        <v>1063125</v>
      </c>
      <c r="G90" s="4">
        <v>500000</v>
      </c>
      <c r="H90" s="4">
        <v>474575</v>
      </c>
      <c r="I90" s="4">
        <f t="shared" si="6"/>
        <v>2250000</v>
      </c>
      <c r="J90" s="4">
        <f t="shared" si="7"/>
        <v>1537700</v>
      </c>
      <c r="K90" s="4">
        <f t="shared" si="8"/>
        <v>-712300</v>
      </c>
      <c r="L90" s="3"/>
    </row>
    <row r="91" spans="1:12" x14ac:dyDescent="0.25">
      <c r="A91" s="3" t="s">
        <v>129</v>
      </c>
      <c r="B91" s="3" t="s">
        <v>208</v>
      </c>
      <c r="C91" s="3">
        <v>16</v>
      </c>
      <c r="D91" s="3">
        <v>16</v>
      </c>
      <c r="E91" s="4">
        <v>6080000</v>
      </c>
      <c r="F91" s="4">
        <v>3402000</v>
      </c>
      <c r="G91" s="4">
        <v>1600000</v>
      </c>
      <c r="H91" s="4">
        <v>1518640</v>
      </c>
      <c r="I91" s="4">
        <f t="shared" si="6"/>
        <v>7680000</v>
      </c>
      <c r="J91" s="4">
        <f t="shared" si="7"/>
        <v>4920640</v>
      </c>
      <c r="K91" s="4">
        <f t="shared" si="8"/>
        <v>-2759360</v>
      </c>
      <c r="L91" s="3"/>
    </row>
    <row r="92" spans="1:12" x14ac:dyDescent="0.25">
      <c r="A92" s="3" t="s">
        <v>129</v>
      </c>
      <c r="B92" s="3" t="s">
        <v>268</v>
      </c>
      <c r="C92" s="3">
        <v>26</v>
      </c>
      <c r="D92" s="3"/>
      <c r="E92" s="4">
        <v>12240000</v>
      </c>
      <c r="F92" s="4">
        <v>0</v>
      </c>
      <c r="G92" s="4">
        <v>966000</v>
      </c>
      <c r="H92" s="4">
        <v>0</v>
      </c>
      <c r="I92" s="4">
        <f t="shared" si="6"/>
        <v>13206000</v>
      </c>
      <c r="J92" s="4">
        <f t="shared" si="7"/>
        <v>0</v>
      </c>
      <c r="K92" s="4">
        <f t="shared" si="8"/>
        <v>-13206000</v>
      </c>
      <c r="L92" s="3" t="s">
        <v>269</v>
      </c>
    </row>
    <row r="93" spans="1:12" x14ac:dyDescent="0.25">
      <c r="A93" s="3" t="s">
        <v>129</v>
      </c>
      <c r="B93" s="3" t="s">
        <v>247</v>
      </c>
      <c r="C93" s="3"/>
      <c r="D93" s="3"/>
      <c r="E93" s="4">
        <v>11858920</v>
      </c>
      <c r="F93" s="4">
        <v>0</v>
      </c>
      <c r="G93" s="4">
        <v>5632400</v>
      </c>
      <c r="H93" s="4">
        <v>0</v>
      </c>
      <c r="I93" s="4">
        <f t="shared" si="6"/>
        <v>17491320</v>
      </c>
      <c r="J93" s="4">
        <f t="shared" si="7"/>
        <v>0</v>
      </c>
      <c r="K93" s="4">
        <f t="shared" si="8"/>
        <v>-17491320</v>
      </c>
      <c r="L93" s="3" t="s">
        <v>248</v>
      </c>
    </row>
    <row r="94" spans="1:12" x14ac:dyDescent="0.25">
      <c r="A94" s="3" t="s">
        <v>129</v>
      </c>
      <c r="B94" s="3" t="s">
        <v>270</v>
      </c>
      <c r="C94" s="3">
        <v>124</v>
      </c>
      <c r="D94" s="3"/>
      <c r="E94" s="4">
        <v>4000000</v>
      </c>
      <c r="F94" s="4">
        <v>0</v>
      </c>
      <c r="G94" s="4">
        <v>31960000</v>
      </c>
      <c r="H94" s="4">
        <v>0</v>
      </c>
      <c r="I94" s="4">
        <f t="shared" si="6"/>
        <v>35960000</v>
      </c>
      <c r="J94" s="4">
        <f t="shared" si="7"/>
        <v>0</v>
      </c>
      <c r="K94" s="4">
        <f t="shared" si="8"/>
        <v>-35960000</v>
      </c>
      <c r="L94" s="3" t="s">
        <v>250</v>
      </c>
    </row>
    <row r="95" spans="1:12" x14ac:dyDescent="0.25">
      <c r="A95" s="3" t="s">
        <v>130</v>
      </c>
      <c r="B95" s="3" t="s">
        <v>75</v>
      </c>
      <c r="C95" s="3">
        <v>230</v>
      </c>
      <c r="D95" s="3">
        <v>230</v>
      </c>
      <c r="E95" s="4">
        <v>50600000</v>
      </c>
      <c r="F95" s="4">
        <v>29480480</v>
      </c>
      <c r="G95" s="4">
        <v>30590000</v>
      </c>
      <c r="H95" s="4">
        <v>19849690</v>
      </c>
      <c r="I95" s="4">
        <f t="shared" si="6"/>
        <v>81190000</v>
      </c>
      <c r="J95" s="4">
        <f t="shared" si="7"/>
        <v>49330170</v>
      </c>
      <c r="K95" s="4">
        <f t="shared" si="8"/>
        <v>-31859830</v>
      </c>
      <c r="L95" s="3"/>
    </row>
    <row r="96" spans="1:12" x14ac:dyDescent="0.25">
      <c r="A96" s="3" t="s">
        <v>130</v>
      </c>
      <c r="B96" s="3" t="s">
        <v>74</v>
      </c>
      <c r="C96" s="3">
        <v>60</v>
      </c>
      <c r="D96" s="3">
        <v>60</v>
      </c>
      <c r="E96" s="4">
        <v>10800000</v>
      </c>
      <c r="F96" s="4">
        <v>6024240</v>
      </c>
      <c r="G96" s="4">
        <v>6060000</v>
      </c>
      <c r="H96" s="4">
        <v>4759320</v>
      </c>
      <c r="I96" s="4">
        <f t="shared" si="6"/>
        <v>16860000</v>
      </c>
      <c r="J96" s="4">
        <f t="shared" si="7"/>
        <v>10783560</v>
      </c>
      <c r="K96" s="4">
        <f t="shared" si="8"/>
        <v>-6076440</v>
      </c>
      <c r="L96" s="3"/>
    </row>
    <row r="97" spans="1:12" x14ac:dyDescent="0.25">
      <c r="A97" s="3" t="s">
        <v>130</v>
      </c>
      <c r="B97" s="3" t="s">
        <v>162</v>
      </c>
      <c r="C97" s="3">
        <v>15</v>
      </c>
      <c r="D97" s="3">
        <v>15</v>
      </c>
      <c r="E97" s="4">
        <v>1521000</v>
      </c>
      <c r="F97" s="4">
        <v>1057530</v>
      </c>
      <c r="G97" s="4">
        <v>360000</v>
      </c>
      <c r="H97" s="4">
        <v>1540470</v>
      </c>
      <c r="I97" s="4">
        <f t="shared" si="6"/>
        <v>1881000</v>
      </c>
      <c r="J97" s="4">
        <f t="shared" si="7"/>
        <v>2598000</v>
      </c>
      <c r="K97" s="4">
        <f t="shared" si="8"/>
        <v>717000</v>
      </c>
      <c r="L97" s="3"/>
    </row>
    <row r="98" spans="1:12" x14ac:dyDescent="0.25">
      <c r="A98" s="3" t="s">
        <v>130</v>
      </c>
      <c r="B98" s="3" t="s">
        <v>163</v>
      </c>
      <c r="C98" s="3">
        <v>50</v>
      </c>
      <c r="D98" s="3">
        <v>50</v>
      </c>
      <c r="E98" s="4">
        <v>3600000</v>
      </c>
      <c r="F98" s="4">
        <v>2729250</v>
      </c>
      <c r="G98" s="4">
        <v>800000</v>
      </c>
      <c r="H98" s="4">
        <v>4411800</v>
      </c>
      <c r="I98" s="4">
        <f t="shared" si="6"/>
        <v>4400000</v>
      </c>
      <c r="J98" s="4">
        <f t="shared" si="7"/>
        <v>7141050</v>
      </c>
      <c r="K98" s="4">
        <f t="shared" si="8"/>
        <v>2741050</v>
      </c>
      <c r="L98" s="3"/>
    </row>
    <row r="99" spans="1:12" x14ac:dyDescent="0.25">
      <c r="A99" s="3" t="s">
        <v>130</v>
      </c>
      <c r="B99" s="3" t="s">
        <v>262</v>
      </c>
      <c r="C99" s="3">
        <v>6</v>
      </c>
      <c r="D99" s="3">
        <v>6</v>
      </c>
      <c r="E99" s="4">
        <v>1098000</v>
      </c>
      <c r="F99" s="4">
        <v>1023072</v>
      </c>
      <c r="G99" s="4">
        <v>252000</v>
      </c>
      <c r="H99" s="4">
        <v>616188</v>
      </c>
      <c r="I99" s="4">
        <f t="shared" si="6"/>
        <v>1350000</v>
      </c>
      <c r="J99" s="4">
        <f t="shared" si="7"/>
        <v>1639260</v>
      </c>
      <c r="K99" s="4">
        <f t="shared" si="8"/>
        <v>289260</v>
      </c>
      <c r="L99" s="3"/>
    </row>
    <row r="100" spans="1:12" x14ac:dyDescent="0.25">
      <c r="A100" s="3" t="s">
        <v>130</v>
      </c>
      <c r="B100" s="3" t="s">
        <v>165</v>
      </c>
      <c r="C100" s="3">
        <v>7</v>
      </c>
      <c r="D100" s="3">
        <v>7</v>
      </c>
      <c r="E100" s="4">
        <v>966000</v>
      </c>
      <c r="F100" s="4">
        <v>1069341</v>
      </c>
      <c r="G100" s="4">
        <v>161000</v>
      </c>
      <c r="H100" s="4">
        <v>783503</v>
      </c>
      <c r="I100" s="4">
        <f t="shared" ref="I100:I105" si="9">E100+G100</f>
        <v>1127000</v>
      </c>
      <c r="J100" s="4">
        <f t="shared" ref="J100:J105" si="10">F100+H100</f>
        <v>1852844</v>
      </c>
      <c r="K100" s="4">
        <f t="shared" ref="K100:K131" si="11">J100-I100</f>
        <v>725844</v>
      </c>
      <c r="L100" s="3"/>
    </row>
    <row r="101" spans="1:12" x14ac:dyDescent="0.25">
      <c r="A101" s="3" t="s">
        <v>130</v>
      </c>
      <c r="B101" s="3" t="s">
        <v>266</v>
      </c>
      <c r="C101" s="3">
        <v>13</v>
      </c>
      <c r="D101" s="3">
        <v>13</v>
      </c>
      <c r="E101" s="4">
        <v>9672000</v>
      </c>
      <c r="F101" s="4">
        <v>7280000</v>
      </c>
      <c r="G101" s="4">
        <v>1144000</v>
      </c>
      <c r="H101" s="4">
        <v>0</v>
      </c>
      <c r="I101" s="4">
        <f t="shared" si="9"/>
        <v>10816000</v>
      </c>
      <c r="J101" s="4">
        <f t="shared" si="10"/>
        <v>7280000</v>
      </c>
      <c r="K101" s="4">
        <f t="shared" si="11"/>
        <v>-3536000</v>
      </c>
      <c r="L101" s="3"/>
    </row>
    <row r="102" spans="1:12" x14ac:dyDescent="0.25">
      <c r="A102" s="3" t="s">
        <v>130</v>
      </c>
      <c r="B102" s="3" t="s">
        <v>267</v>
      </c>
      <c r="C102" s="3">
        <v>13</v>
      </c>
      <c r="D102" s="3">
        <v>13</v>
      </c>
      <c r="E102" s="4">
        <v>4394000</v>
      </c>
      <c r="F102" s="4">
        <v>3347058</v>
      </c>
      <c r="G102" s="4">
        <v>2106000</v>
      </c>
      <c r="H102" s="4">
        <v>861042</v>
      </c>
      <c r="I102" s="4">
        <f t="shared" si="9"/>
        <v>6500000</v>
      </c>
      <c r="J102" s="4">
        <f t="shared" si="10"/>
        <v>4208100</v>
      </c>
      <c r="K102" s="4">
        <f t="shared" si="11"/>
        <v>-2291900</v>
      </c>
      <c r="L102" s="3"/>
    </row>
    <row r="103" spans="1:12" x14ac:dyDescent="0.25">
      <c r="A103" s="3" t="s">
        <v>130</v>
      </c>
      <c r="B103" s="3" t="s">
        <v>268</v>
      </c>
      <c r="C103" s="3">
        <v>5</v>
      </c>
      <c r="D103" s="3"/>
      <c r="E103" s="4">
        <v>2250000</v>
      </c>
      <c r="F103" s="4">
        <v>0</v>
      </c>
      <c r="G103" s="4">
        <v>405000</v>
      </c>
      <c r="H103" s="4">
        <v>0</v>
      </c>
      <c r="I103" s="4">
        <f t="shared" si="9"/>
        <v>2655000</v>
      </c>
      <c r="J103" s="4">
        <f t="shared" si="10"/>
        <v>0</v>
      </c>
      <c r="K103" s="4">
        <f t="shared" si="11"/>
        <v>-2655000</v>
      </c>
      <c r="L103" s="3" t="s">
        <v>269</v>
      </c>
    </row>
    <row r="104" spans="1:12" x14ac:dyDescent="0.25">
      <c r="A104" s="3" t="s">
        <v>130</v>
      </c>
      <c r="B104" s="3" t="s">
        <v>247</v>
      </c>
      <c r="C104" s="3"/>
      <c r="D104" s="3"/>
      <c r="E104" s="4">
        <v>4245050</v>
      </c>
      <c r="F104" s="4">
        <v>0</v>
      </c>
      <c r="G104" s="4">
        <v>2093900</v>
      </c>
      <c r="H104" s="4">
        <v>0</v>
      </c>
      <c r="I104" s="4">
        <f t="shared" si="9"/>
        <v>6338950</v>
      </c>
      <c r="J104" s="4">
        <f t="shared" si="10"/>
        <v>0</v>
      </c>
      <c r="K104" s="4">
        <f t="shared" si="11"/>
        <v>-6338950</v>
      </c>
      <c r="L104" s="3" t="s">
        <v>248</v>
      </c>
    </row>
    <row r="105" spans="1:12" x14ac:dyDescent="0.25">
      <c r="A105" s="3" t="s">
        <v>130</v>
      </c>
      <c r="B105" s="3" t="s">
        <v>270</v>
      </c>
      <c r="C105" s="3">
        <v>200</v>
      </c>
      <c r="D105" s="3"/>
      <c r="E105" s="4">
        <v>0</v>
      </c>
      <c r="F105" s="4">
        <v>0</v>
      </c>
      <c r="G105" s="4">
        <v>6600000</v>
      </c>
      <c r="H105" s="4">
        <v>0</v>
      </c>
      <c r="I105" s="4">
        <f t="shared" si="9"/>
        <v>6600000</v>
      </c>
      <c r="J105" s="4">
        <f t="shared" si="10"/>
        <v>0</v>
      </c>
      <c r="K105" s="4">
        <f t="shared" si="11"/>
        <v>-6600000</v>
      </c>
      <c r="L105" s="3" t="s">
        <v>250</v>
      </c>
    </row>
    <row r="106" spans="1:12" x14ac:dyDescent="0.25">
      <c r="A106" s="3"/>
      <c r="B106" s="6" t="s">
        <v>281</v>
      </c>
      <c r="C106" s="3"/>
      <c r="D106" s="3"/>
      <c r="E106" s="7">
        <f t="shared" ref="E106:K106" si="12">SUM(E4:E105)</f>
        <v>930134720</v>
      </c>
      <c r="F106" s="7">
        <f t="shared" si="12"/>
        <v>576888290</v>
      </c>
      <c r="G106" s="7">
        <f t="shared" si="12"/>
        <v>614637000</v>
      </c>
      <c r="H106" s="7">
        <f t="shared" si="12"/>
        <v>472626081</v>
      </c>
      <c r="I106" s="7">
        <f t="shared" si="12"/>
        <v>1544771720</v>
      </c>
      <c r="J106" s="7">
        <f t="shared" si="12"/>
        <v>1049514371</v>
      </c>
      <c r="K106" s="7">
        <f t="shared" si="12"/>
        <v>-495257349</v>
      </c>
      <c r="L106" s="3"/>
    </row>
  </sheetData>
  <autoFilter ref="A3:L10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D9"/>
  <sheetViews>
    <sheetView workbookViewId="0">
      <selection activeCell="C17" sqref="C17"/>
    </sheetView>
  </sheetViews>
  <sheetFormatPr defaultRowHeight="15" x14ac:dyDescent="0.25"/>
  <cols>
    <col min="1" max="1" width="4" customWidth="1"/>
    <col min="2" max="2" width="32" customWidth="1"/>
    <col min="3" max="3" width="70" customWidth="1"/>
    <col min="4" max="4" width="60" customWidth="1"/>
  </cols>
  <sheetData>
    <row r="1" spans="1:4" ht="17.25" x14ac:dyDescent="0.3">
      <c r="A1" s="14" t="s">
        <v>282</v>
      </c>
    </row>
    <row r="3" spans="1:4" ht="21.95" customHeight="1" x14ac:dyDescent="0.25">
      <c r="A3" s="2" t="s">
        <v>283</v>
      </c>
      <c r="B3" s="2" t="s">
        <v>284</v>
      </c>
      <c r="C3" s="2" t="s">
        <v>285</v>
      </c>
      <c r="D3" s="2" t="s">
        <v>286</v>
      </c>
    </row>
    <row r="4" spans="1:4" ht="30" x14ac:dyDescent="0.25">
      <c r="A4" s="3">
        <v>1</v>
      </c>
      <c r="B4" s="3" t="s">
        <v>287</v>
      </c>
      <c r="C4" s="3" t="s">
        <v>305</v>
      </c>
      <c r="D4" s="3" t="s">
        <v>288</v>
      </c>
    </row>
    <row r="5" spans="1:4" ht="30" x14ac:dyDescent="0.25">
      <c r="A5" s="3">
        <v>2</v>
      </c>
      <c r="B5" s="3" t="s">
        <v>289</v>
      </c>
      <c r="C5" s="3" t="s">
        <v>290</v>
      </c>
      <c r="D5" s="3" t="s">
        <v>291</v>
      </c>
    </row>
    <row r="6" spans="1:4" s="33" customFormat="1" x14ac:dyDescent="0.25">
      <c r="A6" s="34">
        <v>3</v>
      </c>
      <c r="B6" s="34" t="s">
        <v>292</v>
      </c>
      <c r="C6" s="34" t="s">
        <v>293</v>
      </c>
      <c r="D6" s="34" t="s">
        <v>294</v>
      </c>
    </row>
    <row r="7" spans="1:4" ht="30" x14ac:dyDescent="0.25">
      <c r="A7" s="34">
        <v>4</v>
      </c>
      <c r="B7" s="34" t="s">
        <v>295</v>
      </c>
      <c r="C7" s="34" t="s">
        <v>296</v>
      </c>
      <c r="D7" s="34" t="s">
        <v>297</v>
      </c>
    </row>
    <row r="8" spans="1:4" x14ac:dyDescent="0.25">
      <c r="A8" s="34">
        <v>5</v>
      </c>
      <c r="B8" s="34" t="s">
        <v>298</v>
      </c>
      <c r="C8" s="34" t="s">
        <v>299</v>
      </c>
      <c r="D8" s="34" t="s">
        <v>300</v>
      </c>
    </row>
    <row r="9" spans="1:4" s="33" customFormat="1" ht="30" x14ac:dyDescent="0.25">
      <c r="A9" s="34">
        <v>6</v>
      </c>
      <c r="B9" s="34" t="s">
        <v>301</v>
      </c>
      <c r="C9" s="34" t="s">
        <v>302</v>
      </c>
      <c r="D9" s="34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Toan goi</vt:lpstr>
      <vt:lpstr>De xuat chinh</vt:lpstr>
      <vt:lpstr>Tung truong</vt:lpstr>
      <vt:lpstr>Gia von chi tiet</vt:lpstr>
      <vt:lpstr>MN chi tiet</vt:lpstr>
      <vt:lpstr>TH-THCS chi tiet</vt:lpstr>
      <vt:lpstr>Can xem 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Thái Hòa</cp:lastModifiedBy>
  <dcterms:created xsi:type="dcterms:W3CDTF">2026-10-19T15:57:00Z</dcterms:created>
  <dcterms:modified xsi:type="dcterms:W3CDTF">2026-10-19T16:36:51Z</dcterms:modified>
</cp:coreProperties>
</file>